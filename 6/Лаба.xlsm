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10500" yWindow="435" windowWidth="14445" windowHeight="15555" firstSheet="4" activeTab="7"/>
  </bookViews>
  <sheets>
    <sheet name="B5" sheetId="1" r:id="rId1"/>
    <sheet name="Справочник" sheetId="4" r:id="rId2"/>
    <sheet name="Расчет" sheetId="3" r:id="rId3"/>
    <sheet name="Диаграмма" sheetId="5" r:id="rId4"/>
    <sheet name="Стипендия" sheetId="6" r:id="rId5"/>
    <sheet name="Спорт" sheetId="7" r:id="rId6"/>
    <sheet name="Таблица 1" sheetId="9" r:id="rId7"/>
    <sheet name="Таблица 2" sheetId="8" r:id="rId8"/>
    <sheet name="Неделя 1" sheetId="10" r:id="rId9"/>
    <sheet name="Неделя 2" sheetId="16" r:id="rId10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9" l="1"/>
  <c r="C9" i="9"/>
  <c r="C10" i="9"/>
  <c r="C11" i="9"/>
  <c r="C12" i="9"/>
  <c r="C2" i="9"/>
  <c r="C3" i="9"/>
  <c r="C4" i="9"/>
  <c r="C5" i="9"/>
  <c r="C6" i="9"/>
  <c r="C7" i="9"/>
  <c r="C13" i="9" l="1"/>
  <c r="A10" i="16" l="1"/>
  <c r="A17" i="16" s="1"/>
  <c r="I3" i="16" s="1"/>
  <c r="F1" i="10"/>
  <c r="A3" i="10"/>
  <c r="A10" i="10" s="1"/>
  <c r="A17" i="10" s="1"/>
  <c r="I3" i="10" s="1"/>
  <c r="I10" i="16" l="1"/>
  <c r="I17" i="16" s="1"/>
  <c r="N1" i="16"/>
  <c r="F1" i="16"/>
  <c r="I10" i="10"/>
  <c r="I17" i="10" s="1"/>
  <c r="N1" i="10"/>
  <c r="I11" i="7" l="1"/>
  <c r="J17" i="7"/>
  <c r="I17" i="7"/>
  <c r="J16" i="7"/>
  <c r="I16" i="7"/>
  <c r="J15" i="7"/>
  <c r="I15" i="7"/>
  <c r="J14" i="7"/>
  <c r="I14" i="7"/>
  <c r="J13" i="7"/>
  <c r="I13" i="7"/>
  <c r="J12" i="7"/>
  <c r="I12" i="7"/>
  <c r="J11" i="7"/>
  <c r="J10" i="7"/>
  <c r="I10" i="7"/>
  <c r="J9" i="7"/>
  <c r="I9" i="7"/>
  <c r="J8" i="7"/>
  <c r="I8" i="7"/>
  <c r="J7" i="7"/>
  <c r="I7" i="7"/>
  <c r="J6" i="7"/>
  <c r="I6" i="7"/>
  <c r="J5" i="7"/>
  <c r="I5" i="7"/>
  <c r="J4" i="7"/>
  <c r="I4" i="7"/>
  <c r="J3" i="7"/>
  <c r="I3" i="7"/>
  <c r="J2" i="7"/>
  <c r="I2" i="7"/>
  <c r="F14" i="6" l="1"/>
  <c r="G14" i="6" s="1"/>
  <c r="F13" i="6"/>
  <c r="G13" i="6" s="1"/>
  <c r="F10" i="6"/>
  <c r="F11" i="6"/>
  <c r="F12" i="6"/>
  <c r="G12" i="6"/>
  <c r="G18" i="6"/>
  <c r="G19" i="6" s="1"/>
  <c r="H11" i="6" l="1"/>
  <c r="G11" i="6"/>
  <c r="H14" i="6"/>
  <c r="B21" i="6"/>
  <c r="H12" i="6"/>
  <c r="G10" i="6"/>
  <c r="H10" i="6"/>
  <c r="B20" i="6"/>
  <c r="H13" i="6"/>
  <c r="G15" i="6" l="1"/>
  <c r="G16" i="6"/>
  <c r="G11" i="3" l="1"/>
  <c r="G12" i="3"/>
  <c r="G13" i="3"/>
  <c r="E11" i="3"/>
  <c r="E12" i="3"/>
  <c r="E13" i="3"/>
  <c r="E10" i="3"/>
  <c r="E14" i="3" s="1"/>
  <c r="B14" i="3"/>
  <c r="C10" i="3" s="1"/>
  <c r="F10" i="3" s="1"/>
  <c r="H13" i="3" l="1"/>
  <c r="H12" i="3"/>
  <c r="H11" i="3"/>
  <c r="C13" i="3"/>
  <c r="F13" i="3" s="1"/>
  <c r="C12" i="3"/>
  <c r="F12" i="3" s="1"/>
  <c r="G10" i="3"/>
  <c r="G14" i="3" s="1"/>
  <c r="H10" i="3"/>
  <c r="H14" i="3" s="1"/>
  <c r="C11" i="3"/>
  <c r="F11" i="3" s="1"/>
  <c r="F14" i="3"/>
  <c r="F20" i="1"/>
  <c r="F21" i="1" s="1"/>
  <c r="F19" i="1"/>
  <c r="F10" i="1"/>
  <c r="F11" i="1"/>
  <c r="F12" i="1"/>
  <c r="F13" i="1"/>
  <c r="F9" i="1"/>
  <c r="F14" i="1" l="1"/>
  <c r="F16" i="1"/>
  <c r="F15" i="1"/>
  <c r="F17" i="1" s="1"/>
  <c r="F22" i="1"/>
  <c r="F23" i="1" s="1"/>
  <c r="F24" i="1" l="1"/>
</calcChain>
</file>

<file path=xl/sharedStrings.xml><?xml version="1.0" encoding="utf-8"?>
<sst xmlns="http://schemas.openxmlformats.org/spreadsheetml/2006/main" count="267" uniqueCount="157">
  <si>
    <t>Основание:</t>
  </si>
  <si>
    <t>Заказчик:</t>
  </si>
  <si>
    <t>Объект:</t>
  </si>
  <si>
    <t>Подпорная стенка L200м</t>
  </si>
  <si>
    <t>ООО "Мебель-Союз"</t>
  </si>
  <si>
    <t>Договор №22</t>
  </si>
  <si>
    <t>Смета №</t>
  </si>
  <si>
    <t>№ п/п</t>
  </si>
  <si>
    <t>Наименование работы или материала</t>
  </si>
  <si>
    <t>Е.изм.</t>
  </si>
  <si>
    <t>Кол-во</t>
  </si>
  <si>
    <t>Ст-ть ед, руб</t>
  </si>
  <si>
    <t>Итого ст-ть, руб</t>
  </si>
  <si>
    <t>Работа</t>
  </si>
  <si>
    <t>Очистка территории</t>
  </si>
  <si>
    <t>Разметка территории</t>
  </si>
  <si>
    <t>Формирование бетонного основания</t>
  </si>
  <si>
    <t>Создание стенки из кирпича Ш40см, В60см</t>
  </si>
  <si>
    <t>Декоративное оформление</t>
  </si>
  <si>
    <t>Итог прямых затрат на работы:</t>
  </si>
  <si>
    <t>Транспортные расходы:</t>
  </si>
  <si>
    <t>Накладные расходы:</t>
  </si>
  <si>
    <t>%</t>
  </si>
  <si>
    <t>Итого:</t>
  </si>
  <si>
    <t>Материалы</t>
  </si>
  <si>
    <t>Раствор</t>
  </si>
  <si>
    <t>Кирпич</t>
  </si>
  <si>
    <t>миксер</t>
  </si>
  <si>
    <t>Итог прямых затрат на материалы:</t>
  </si>
  <si>
    <t>НДС:</t>
  </si>
  <si>
    <t>Итог:</t>
  </si>
  <si>
    <t>Общая сумма:</t>
  </si>
  <si>
    <t>Дата:</t>
  </si>
  <si>
    <t>Составил</t>
  </si>
  <si>
    <t>Утвердил:</t>
  </si>
  <si>
    <t>М.П.</t>
  </si>
  <si>
    <r>
      <t>100 m</t>
    </r>
    <r>
      <rPr>
        <vertAlign val="superscript"/>
        <sz val="12"/>
        <color theme="1"/>
        <rFont val="Calibri (Body)"/>
        <charset val="204"/>
      </rPr>
      <t>3</t>
    </r>
  </si>
  <si>
    <r>
      <t>m</t>
    </r>
    <r>
      <rPr>
        <vertAlign val="superscript"/>
        <sz val="12"/>
        <color theme="1"/>
        <rFont val="Calibri (Body)"/>
        <charset val="204"/>
      </rPr>
      <t>3</t>
    </r>
  </si>
  <si>
    <r>
      <t>м</t>
    </r>
    <r>
      <rPr>
        <vertAlign val="superscript"/>
        <sz val="12"/>
        <color theme="1"/>
        <rFont val="Calibri (Body)"/>
        <charset val="204"/>
      </rPr>
      <t>3</t>
    </r>
  </si>
  <si>
    <t>Процент с прибыли:</t>
  </si>
  <si>
    <t>Рамер прибыли, более которой можно начислять:</t>
  </si>
  <si>
    <t>Надбавка за совместительность:</t>
  </si>
  <si>
    <t>Тариф, руб/день:</t>
  </si>
  <si>
    <t>Секция:</t>
  </si>
  <si>
    <t>Месяц:</t>
  </si>
  <si>
    <t>Прибыль:</t>
  </si>
  <si>
    <t>Радиотовары</t>
  </si>
  <si>
    <t>июнь, 2002</t>
  </si>
  <si>
    <t>Размер вознаграждения</t>
  </si>
  <si>
    <t>Фио Продавца</t>
  </si>
  <si>
    <t>Кол-во отраб. Дней</t>
  </si>
  <si>
    <t>Рабочее время в %</t>
  </si>
  <si>
    <t>Совместительство</t>
  </si>
  <si>
    <t>Начисление по тарифу</t>
  </si>
  <si>
    <t>Процент с прибыли, руб</t>
  </si>
  <si>
    <t xml:space="preserve">Надбавка за совмещение </t>
  </si>
  <si>
    <t>Итого</t>
  </si>
  <si>
    <t>Иванова</t>
  </si>
  <si>
    <t>Петрова</t>
  </si>
  <si>
    <t>Сидорова</t>
  </si>
  <si>
    <t>Михайлова</t>
  </si>
  <si>
    <t>да</t>
  </si>
  <si>
    <t>Ср.балл</t>
  </si>
  <si>
    <t>Стипендия</t>
  </si>
  <si>
    <t>Равно</t>
  </si>
  <si>
    <t>Больше или равно</t>
  </si>
  <si>
    <t>Менее</t>
  </si>
  <si>
    <t>Начисление стипендии по результатам сессии</t>
  </si>
  <si>
    <t>ФИО студента</t>
  </si>
  <si>
    <t>Оценки по экзаменам</t>
  </si>
  <si>
    <t>Средний балл</t>
  </si>
  <si>
    <t>Рейтинг</t>
  </si>
  <si>
    <t>Высш.мат</t>
  </si>
  <si>
    <t>Физика</t>
  </si>
  <si>
    <t>Химия</t>
  </si>
  <si>
    <t>Философия</t>
  </si>
  <si>
    <t>Симонов О.О.</t>
  </si>
  <si>
    <t>Воронцов А.В.</t>
  </si>
  <si>
    <t>Круглова В.О.</t>
  </si>
  <si>
    <t>Рощина С.С.</t>
  </si>
  <si>
    <t>Пузырь Л.Д.</t>
  </si>
  <si>
    <t>Количество стипендиантов:</t>
  </si>
  <si>
    <t>Количество повышенных стипендий:</t>
  </si>
  <si>
    <t>Дата</t>
  </si>
  <si>
    <t>Максимальный средний балл</t>
  </si>
  <si>
    <t>Минимальный средний балл</t>
  </si>
  <si>
    <t>Год</t>
  </si>
  <si>
    <t>Место</t>
  </si>
  <si>
    <t>Клуб</t>
  </si>
  <si>
    <t>Игр</t>
  </si>
  <si>
    <t>Выигрыш</t>
  </si>
  <si>
    <t>Ничья</t>
  </si>
  <si>
    <t>Поражение</t>
  </si>
  <si>
    <t>Забитые мячи</t>
  </si>
  <si>
    <t>Пропущенные мячи</t>
  </si>
  <si>
    <t>Разница</t>
  </si>
  <si>
    <t>Очки</t>
  </si>
  <si>
    <t>Рубин</t>
  </si>
  <si>
    <t>Спартак</t>
  </si>
  <si>
    <t>Зенит</t>
  </si>
  <si>
    <t>Локомотив</t>
  </si>
  <si>
    <t>ЦСКА</t>
  </si>
  <si>
    <t>Москва</t>
  </si>
  <si>
    <t>Сатурн</t>
  </si>
  <si>
    <t>Динамо</t>
  </si>
  <si>
    <t>Томь</t>
  </si>
  <si>
    <t>Крылья Советов</t>
  </si>
  <si>
    <t>Спартак-Нальчик</t>
  </si>
  <si>
    <t>Терек</t>
  </si>
  <si>
    <t>Амкар</t>
  </si>
  <si>
    <t>Ростов</t>
  </si>
  <si>
    <t>Кубань</t>
  </si>
  <si>
    <t>Химки</t>
  </si>
  <si>
    <t>Наименование товара</t>
  </si>
  <si>
    <t>Цена, $/шт</t>
  </si>
  <si>
    <t>Накопитель на ЖМД SATA</t>
  </si>
  <si>
    <t>Модуль памяти Kingston</t>
  </si>
  <si>
    <t>Ноутбук Lenovo</t>
  </si>
  <si>
    <t>Мышь Logitech</t>
  </si>
  <si>
    <t>Дискета Verbatim</t>
  </si>
  <si>
    <t>Принтер Canon</t>
  </si>
  <si>
    <t>Принтер Acer</t>
  </si>
  <si>
    <t>Материнская плата Asus</t>
  </si>
  <si>
    <t>Гарнитура Phillips</t>
  </si>
  <si>
    <t>Корпуc Minitower</t>
  </si>
  <si>
    <t>Мышь Microsoft</t>
  </si>
  <si>
    <t>Наименование продукта</t>
  </si>
  <si>
    <t>Количество, шт</t>
  </si>
  <si>
    <t>Итоговая цена</t>
  </si>
  <si>
    <t>Клавиатура Logitech</t>
  </si>
  <si>
    <t>Материнская плата ASRock</t>
  </si>
  <si>
    <t>Монитор Acer</t>
  </si>
  <si>
    <t>Номер триместра</t>
  </si>
  <si>
    <t>День
недели</t>
  </si>
  <si>
    <t>№ урока</t>
  </si>
  <si>
    <t>Предмет</t>
  </si>
  <si>
    <t>Домашнее задание</t>
  </si>
  <si>
    <t>Оценка</t>
  </si>
  <si>
    <t>Подпись</t>
  </si>
  <si>
    <t>Понедельник</t>
  </si>
  <si>
    <t>Информатика</t>
  </si>
  <si>
    <t>Четверг</t>
  </si>
  <si>
    <t>Русский язык</t>
  </si>
  <si>
    <t>Литература</t>
  </si>
  <si>
    <t>История</t>
  </si>
  <si>
    <t>География</t>
  </si>
  <si>
    <t>Алгебра</t>
  </si>
  <si>
    <t>Черчение</t>
  </si>
  <si>
    <t>Биология</t>
  </si>
  <si>
    <t>Английский язык</t>
  </si>
  <si>
    <t>Вторник</t>
  </si>
  <si>
    <t>Физкультура</t>
  </si>
  <si>
    <t>Пятница</t>
  </si>
  <si>
    <t>Геометрия</t>
  </si>
  <si>
    <t>Среда</t>
  </si>
  <si>
    <t>Суббота</t>
  </si>
  <si>
    <t>Обществознание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</si>
</sst>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19]d\ mmm;@"/>
  </numFmts>
  <fonts count="14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charset val="204"/>
      <scheme val="minor"/>
    </font>
    <font>
      <i/>
      <sz val="12"/>
      <color theme="1"/>
      <name val="Calibri"/>
      <family val="2"/>
      <scheme val="minor"/>
    </font>
    <font>
      <sz val="12"/>
      <color theme="1"/>
      <name val="Calibri (Body)_x0000_"/>
      <charset val="204"/>
    </font>
    <font>
      <b/>
      <sz val="11"/>
      <color theme="3"/>
      <name val="Calibri"/>
      <family val="2"/>
      <charset val="204"/>
      <scheme val="minor"/>
    </font>
    <font>
      <vertAlign val="superscript"/>
      <sz val="12"/>
      <color theme="1"/>
      <name val="Calibri (Body)"/>
      <charset val="204"/>
    </font>
    <font>
      <b/>
      <i/>
      <sz val="12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6"/>
      <color theme="1"/>
      <name val="Calibri (Body)_x0000_"/>
      <charset val="204"/>
    </font>
    <font>
      <b/>
      <sz val="16"/>
      <color theme="3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6" fillId="0" borderId="42" applyNumberFormat="0" applyFill="0" applyAlignment="0" applyProtection="0"/>
  </cellStyleXfs>
  <cellXfs count="145">
    <xf numFmtId="0" fontId="0" fillId="0" borderId="0" xfId="0"/>
    <xf numFmtId="1" fontId="0" fillId="0" borderId="3" xfId="0" applyNumberFormat="1" applyBorder="1"/>
    <xf numFmtId="1" fontId="0" fillId="0" borderId="0" xfId="0" applyNumberFormat="1" applyBorder="1"/>
    <xf numFmtId="1" fontId="0" fillId="0" borderId="11" xfId="0" applyNumberFormat="1" applyBorder="1"/>
    <xf numFmtId="1" fontId="1" fillId="0" borderId="12" xfId="0" applyNumberFormat="1" applyFont="1" applyBorder="1" applyAlignment="1">
      <alignment horizontal="center" vertical="center"/>
    </xf>
    <xf numFmtId="1" fontId="1" fillId="0" borderId="13" xfId="0" applyNumberFormat="1" applyFont="1" applyBorder="1" applyAlignment="1">
      <alignment horizontal="center" vertical="center"/>
    </xf>
    <xf numFmtId="1" fontId="0" fillId="0" borderId="5" xfId="0" applyNumberFormat="1" applyBorder="1" applyAlignment="1">
      <alignment wrapText="1" shrinkToFit="1"/>
    </xf>
    <xf numFmtId="1" fontId="0" fillId="0" borderId="6" xfId="0" applyNumberFormat="1" applyBorder="1" applyAlignment="1">
      <alignment wrapText="1" shrinkToFit="1"/>
    </xf>
    <xf numFmtId="1" fontId="0" fillId="0" borderId="7" xfId="0" applyNumberFormat="1" applyBorder="1" applyAlignment="1">
      <alignment wrapText="1" shrinkToFit="1"/>
    </xf>
    <xf numFmtId="1" fontId="0" fillId="0" borderId="0" xfId="0" applyNumberFormat="1" applyBorder="1" applyAlignment="1">
      <alignment wrapText="1" shrinkToFit="1"/>
    </xf>
    <xf numFmtId="0" fontId="0" fillId="0" borderId="0" xfId="0" applyAlignment="1">
      <alignment wrapText="1" shrinkToFit="1"/>
    </xf>
    <xf numFmtId="1" fontId="1" fillId="0" borderId="13" xfId="0" applyNumberFormat="1" applyFont="1" applyBorder="1" applyAlignment="1">
      <alignment horizontal="centerContinuous" vertical="center" wrapText="1" shrinkToFit="1"/>
    </xf>
    <xf numFmtId="1" fontId="1" fillId="0" borderId="14" xfId="0" applyNumberFormat="1" applyFont="1" applyBorder="1" applyAlignment="1">
      <alignment horizontal="centerContinuous" vertical="center" wrapText="1"/>
    </xf>
    <xf numFmtId="1" fontId="1" fillId="0" borderId="10" xfId="0" applyNumberFormat="1" applyFont="1" applyBorder="1" applyAlignment="1">
      <alignment horizontal="centerContinuous" vertical="center" wrapText="1"/>
    </xf>
    <xf numFmtId="1" fontId="2" fillId="0" borderId="0" xfId="0" applyNumberFormat="1" applyFont="1" applyBorder="1" applyAlignment="1">
      <alignment horizontal="right" wrapText="1" shrinkToFit="1"/>
    </xf>
    <xf numFmtId="1" fontId="0" fillId="0" borderId="15" xfId="0" applyNumberFormat="1" applyBorder="1"/>
    <xf numFmtId="1" fontId="0" fillId="0" borderId="17" xfId="0" applyNumberFormat="1" applyBorder="1"/>
    <xf numFmtId="1" fontId="0" fillId="0" borderId="20" xfId="0" applyNumberFormat="1" applyBorder="1"/>
    <xf numFmtId="1" fontId="0" fillId="0" borderId="21" xfId="0" applyNumberFormat="1" applyBorder="1" applyAlignment="1">
      <alignment wrapText="1" shrinkToFit="1"/>
    </xf>
    <xf numFmtId="1" fontId="0" fillId="0" borderId="2" xfId="0" applyNumberFormat="1" applyBorder="1" applyAlignment="1">
      <alignment wrapText="1" shrinkToFit="1"/>
    </xf>
    <xf numFmtId="1" fontId="0" fillId="0" borderId="22" xfId="0" applyNumberFormat="1" applyBorder="1" applyAlignment="1">
      <alignment wrapText="1" shrinkToFit="1"/>
    </xf>
    <xf numFmtId="1" fontId="0" fillId="0" borderId="21" xfId="0" applyNumberFormat="1" applyBorder="1"/>
    <xf numFmtId="1" fontId="0" fillId="0" borderId="2" xfId="0" applyNumberFormat="1" applyBorder="1"/>
    <xf numFmtId="1" fontId="0" fillId="0" borderId="22" xfId="0" applyNumberFormat="1" applyBorder="1"/>
    <xf numFmtId="1" fontId="0" fillId="0" borderId="26" xfId="0" applyNumberFormat="1" applyBorder="1"/>
    <xf numFmtId="1" fontId="0" fillId="0" borderId="1" xfId="0" applyNumberFormat="1" applyBorder="1"/>
    <xf numFmtId="1" fontId="0" fillId="0" borderId="29" xfId="0" applyNumberFormat="1" applyBorder="1"/>
    <xf numFmtId="1" fontId="0" fillId="0" borderId="32" xfId="0" applyNumberFormat="1" applyBorder="1"/>
    <xf numFmtId="1" fontId="0" fillId="0" borderId="31" xfId="0" applyNumberFormat="1" applyBorder="1"/>
    <xf numFmtId="1" fontId="0" fillId="0" borderId="23" xfId="0" applyNumberFormat="1" applyBorder="1" applyAlignment="1">
      <alignment horizontal="center"/>
    </xf>
    <xf numFmtId="1" fontId="0" fillId="0" borderId="24" xfId="0" applyNumberFormat="1" applyBorder="1" applyAlignment="1">
      <alignment horizontal="center"/>
    </xf>
    <xf numFmtId="1" fontId="0" fillId="0" borderId="25" xfId="0" applyNumberFormat="1" applyBorder="1" applyAlignment="1">
      <alignment horizontal="center"/>
    </xf>
    <xf numFmtId="1" fontId="5" fillId="0" borderId="2" xfId="0" applyNumberFormat="1" applyFont="1" applyBorder="1" applyAlignment="1">
      <alignment wrapText="1" shrinkToFit="1"/>
    </xf>
    <xf numFmtId="2" fontId="0" fillId="0" borderId="0" xfId="0" applyNumberFormat="1" applyFont="1" applyBorder="1"/>
    <xf numFmtId="1" fontId="0" fillId="0" borderId="38" xfId="0" applyNumberFormat="1" applyBorder="1"/>
    <xf numFmtId="2" fontId="0" fillId="0" borderId="18" xfId="0" applyNumberFormat="1" applyBorder="1"/>
    <xf numFmtId="2" fontId="0" fillId="0" borderId="19" xfId="0" applyNumberFormat="1" applyBorder="1"/>
    <xf numFmtId="2" fontId="0" fillId="0" borderId="7" xfId="0" applyNumberFormat="1" applyBorder="1"/>
    <xf numFmtId="1" fontId="0" fillId="0" borderId="0" xfId="0" applyNumberFormat="1" applyBorder="1" applyAlignment="1">
      <alignment horizontal="right"/>
    </xf>
    <xf numFmtId="4" fontId="0" fillId="0" borderId="37" xfId="0" applyNumberFormat="1" applyBorder="1"/>
    <xf numFmtId="4" fontId="0" fillId="0" borderId="30" xfId="0" applyNumberFormat="1" applyBorder="1"/>
    <xf numFmtId="4" fontId="0" fillId="0" borderId="4" xfId="0" applyNumberFormat="1" applyBorder="1"/>
    <xf numFmtId="4" fontId="0" fillId="0" borderId="18" xfId="0" applyNumberFormat="1" applyBorder="1"/>
    <xf numFmtId="4" fontId="0" fillId="0" borderId="7" xfId="0" applyNumberFormat="1" applyBorder="1"/>
    <xf numFmtId="4" fontId="0" fillId="0" borderId="39" xfId="0" applyNumberFormat="1" applyBorder="1"/>
    <xf numFmtId="4" fontId="1" fillId="0" borderId="4" xfId="0" applyNumberFormat="1" applyFont="1" applyBorder="1"/>
    <xf numFmtId="1" fontId="0" fillId="0" borderId="0" xfId="0" applyNumberFormat="1" applyBorder="1" applyAlignment="1">
      <alignment horizontal="center" wrapText="1" shrinkToFit="1"/>
    </xf>
    <xf numFmtId="1" fontId="0" fillId="0" borderId="40" xfId="0" applyNumberFormat="1" applyBorder="1" applyAlignment="1">
      <alignment wrapText="1" shrinkToFit="1"/>
    </xf>
    <xf numFmtId="1" fontId="0" fillId="0" borderId="41" xfId="0" applyNumberFormat="1" applyBorder="1" applyAlignment="1">
      <alignment wrapText="1" shrinkToFit="1"/>
    </xf>
    <xf numFmtId="0" fontId="0" fillId="0" borderId="19" xfId="0" applyBorder="1"/>
    <xf numFmtId="0" fontId="0" fillId="0" borderId="7" xfId="0" applyBorder="1"/>
    <xf numFmtId="0" fontId="1" fillId="0" borderId="19" xfId="0" applyFont="1" applyBorder="1"/>
    <xf numFmtId="0" fontId="1" fillId="0" borderId="7" xfId="0" applyFont="1" applyBorder="1"/>
    <xf numFmtId="9" fontId="1" fillId="0" borderId="18" xfId="0" applyNumberFormat="1" applyFont="1" applyBorder="1"/>
    <xf numFmtId="9" fontId="1" fillId="0" borderId="19" xfId="0" applyNumberFormat="1" applyFont="1" applyBorder="1"/>
    <xf numFmtId="0" fontId="4" fillId="0" borderId="0" xfId="0" applyFont="1"/>
    <xf numFmtId="0" fontId="1" fillId="0" borderId="0" xfId="0" applyFont="1"/>
    <xf numFmtId="0" fontId="0" fillId="0" borderId="16" xfId="0" applyBorder="1"/>
    <xf numFmtId="0" fontId="0" fillId="0" borderId="0" xfId="0" applyBorder="1"/>
    <xf numFmtId="0" fontId="0" fillId="0" borderId="44" xfId="0" applyBorder="1"/>
    <xf numFmtId="0" fontId="0" fillId="0" borderId="17" xfId="0" applyBorder="1"/>
    <xf numFmtId="0" fontId="0" fillId="0" borderId="46" xfId="0" applyBorder="1"/>
    <xf numFmtId="0" fontId="0" fillId="0" borderId="24" xfId="0" applyBorder="1"/>
    <xf numFmtId="0" fontId="0" fillId="0" borderId="2" xfId="0" applyBorder="1"/>
    <xf numFmtId="0" fontId="0" fillId="0" borderId="22" xfId="0" applyBorder="1"/>
    <xf numFmtId="0" fontId="1" fillId="0" borderId="12" xfId="0" applyFont="1" applyBorder="1" applyAlignment="1">
      <alignment horizontal="centerContinuous" vertical="center" wrapText="1"/>
    </xf>
    <xf numFmtId="0" fontId="1" fillId="0" borderId="13" xfId="0" applyFont="1" applyBorder="1" applyAlignment="1">
      <alignment horizontal="centerContinuous" vertical="center" wrapText="1"/>
    </xf>
    <xf numFmtId="0" fontId="1" fillId="0" borderId="10" xfId="0" applyFont="1" applyBorder="1" applyAlignment="1">
      <alignment horizontal="centerContinuous" vertical="center" wrapText="1"/>
    </xf>
    <xf numFmtId="0" fontId="1" fillId="0" borderId="12" xfId="0" applyFont="1" applyBorder="1" applyAlignment="1">
      <alignment horizontal="right"/>
    </xf>
    <xf numFmtId="0" fontId="1" fillId="0" borderId="13" xfId="0" applyFont="1" applyBorder="1" applyAlignment="1">
      <alignment horizontal="right"/>
    </xf>
    <xf numFmtId="0" fontId="1" fillId="0" borderId="9" xfId="0" applyFont="1" applyBorder="1" applyAlignment="1">
      <alignment horizontal="right"/>
    </xf>
    <xf numFmtId="2" fontId="0" fillId="0" borderId="2" xfId="0" applyNumberFormat="1" applyBorder="1"/>
    <xf numFmtId="2" fontId="1" fillId="0" borderId="13" xfId="0" applyNumberFormat="1" applyFont="1" applyBorder="1" applyAlignment="1">
      <alignment horizontal="right"/>
    </xf>
    <xf numFmtId="2" fontId="0" fillId="0" borderId="44" xfId="0" applyNumberFormat="1" applyBorder="1"/>
    <xf numFmtId="0" fontId="0" fillId="0" borderId="49" xfId="0" applyBorder="1"/>
    <xf numFmtId="0" fontId="0" fillId="0" borderId="50" xfId="0" applyBorder="1"/>
    <xf numFmtId="0" fontId="0" fillId="0" borderId="52" xfId="0" applyBorder="1"/>
    <xf numFmtId="0" fontId="0" fillId="0" borderId="48" xfId="0" applyBorder="1"/>
    <xf numFmtId="0" fontId="0" fillId="0" borderId="53" xfId="0" applyBorder="1"/>
    <xf numFmtId="0" fontId="0" fillId="0" borderId="54" xfId="0" applyBorder="1"/>
    <xf numFmtId="0" fontId="0" fillId="0" borderId="57" xfId="0" applyBorder="1"/>
    <xf numFmtId="0" fontId="0" fillId="0" borderId="59" xfId="0" applyBorder="1"/>
    <xf numFmtId="0" fontId="0" fillId="0" borderId="60" xfId="0" applyBorder="1"/>
    <xf numFmtId="0" fontId="0" fillId="0" borderId="4" xfId="0" applyBorder="1" applyAlignment="1">
      <alignment vertical="center"/>
    </xf>
    <xf numFmtId="0" fontId="0" fillId="0" borderId="58" xfId="0" applyBorder="1"/>
    <xf numFmtId="14" fontId="0" fillId="0" borderId="0" xfId="0" applyNumberFormat="1"/>
    <xf numFmtId="0" fontId="4" fillId="0" borderId="57" xfId="0" applyFont="1" applyBorder="1"/>
    <xf numFmtId="0" fontId="4" fillId="0" borderId="58" xfId="0" applyFont="1" applyBorder="1" applyAlignment="1">
      <alignment horizontal="center"/>
    </xf>
    <xf numFmtId="0" fontId="4" fillId="0" borderId="46" xfId="0" applyFont="1" applyBorder="1"/>
    <xf numFmtId="0" fontId="9" fillId="0" borderId="48" xfId="0" applyFont="1" applyBorder="1"/>
    <xf numFmtId="0" fontId="9" fillId="0" borderId="51" xfId="0" applyFont="1" applyBorder="1" applyAlignment="1">
      <alignment wrapText="1"/>
    </xf>
    <xf numFmtId="0" fontId="9" fillId="0" borderId="51" xfId="0" applyFont="1" applyBorder="1"/>
    <xf numFmtId="0" fontId="4" fillId="0" borderId="47" xfId="0" applyFont="1" applyBorder="1"/>
    <xf numFmtId="0" fontId="4" fillId="0" borderId="17" xfId="0" applyFont="1" applyBorder="1"/>
    <xf numFmtId="0" fontId="0" fillId="0" borderId="1" xfId="0" applyBorder="1"/>
    <xf numFmtId="0" fontId="1" fillId="0" borderId="1" xfId="0" applyFont="1" applyBorder="1"/>
    <xf numFmtId="0" fontId="12" fillId="0" borderId="1" xfId="0" applyFont="1" applyBorder="1"/>
    <xf numFmtId="0" fontId="12" fillId="0" borderId="1" xfId="0" applyFont="1" applyBorder="1" applyAlignment="1">
      <alignment wrapText="1"/>
    </xf>
    <xf numFmtId="0" fontId="12" fillId="0" borderId="1" xfId="0" applyFont="1" applyBorder="1" applyAlignment="1">
      <alignment vertical="center"/>
    </xf>
    <xf numFmtId="0" fontId="0" fillId="0" borderId="61" xfId="0" applyBorder="1"/>
    <xf numFmtId="0" fontId="1" fillId="0" borderId="1" xfId="0" applyFont="1" applyBorder="1" applyAlignment="1">
      <alignment horizontal="right"/>
    </xf>
    <xf numFmtId="0" fontId="13" fillId="0" borderId="0" xfId="0" applyFont="1" applyAlignment="1">
      <alignment horizontal="right"/>
    </xf>
    <xf numFmtId="0" fontId="13" fillId="0" borderId="0" xfId="0" applyFont="1"/>
    <xf numFmtId="0" fontId="0" fillId="0" borderId="1" xfId="0" applyBorder="1" applyAlignment="1">
      <alignment wrapText="1"/>
    </xf>
    <xf numFmtId="1" fontId="4" fillId="0" borderId="34" xfId="0" applyNumberFormat="1" applyFont="1" applyBorder="1" applyAlignment="1">
      <alignment horizontal="right"/>
    </xf>
    <xf numFmtId="1" fontId="4" fillId="0" borderId="35" xfId="0" applyNumberFormat="1" applyFont="1" applyBorder="1" applyAlignment="1">
      <alignment horizontal="right"/>
    </xf>
    <xf numFmtId="1" fontId="3" fillId="0" borderId="8" xfId="0" applyNumberFormat="1" applyFont="1" applyBorder="1" applyAlignment="1">
      <alignment horizontal="center"/>
    </xf>
    <xf numFmtId="1" fontId="3" fillId="0" borderId="10" xfId="0" applyNumberFormat="1" applyFont="1" applyBorder="1" applyAlignment="1">
      <alignment horizontal="center"/>
    </xf>
    <xf numFmtId="1" fontId="4" fillId="0" borderId="8" xfId="0" applyNumberFormat="1" applyFont="1" applyBorder="1" applyAlignment="1">
      <alignment horizontal="center"/>
    </xf>
    <xf numFmtId="1" fontId="4" fillId="0" borderId="9" xfId="0" applyNumberFormat="1" applyFont="1" applyBorder="1" applyAlignment="1">
      <alignment horizontal="center"/>
    </xf>
    <xf numFmtId="1" fontId="4" fillId="0" borderId="20" xfId="0" applyNumberFormat="1" applyFont="1" applyBorder="1" applyAlignment="1">
      <alignment horizontal="center"/>
    </xf>
    <xf numFmtId="1" fontId="1" fillId="0" borderId="8" xfId="0" applyNumberFormat="1" applyFont="1" applyBorder="1" applyAlignment="1">
      <alignment horizontal="right"/>
    </xf>
    <xf numFmtId="1" fontId="1" fillId="0" borderId="9" xfId="0" applyNumberFormat="1" applyFont="1" applyBorder="1" applyAlignment="1">
      <alignment horizontal="right"/>
    </xf>
    <xf numFmtId="1" fontId="1" fillId="0" borderId="10" xfId="0" applyNumberFormat="1" applyFont="1" applyBorder="1" applyAlignment="1">
      <alignment horizontal="right"/>
    </xf>
    <xf numFmtId="1" fontId="4" fillId="0" borderId="33" xfId="0" applyNumberFormat="1" applyFont="1" applyBorder="1" applyAlignment="1">
      <alignment horizontal="right"/>
    </xf>
    <xf numFmtId="1" fontId="4" fillId="0" borderId="27" xfId="0" applyNumberFormat="1" applyFont="1" applyBorder="1" applyAlignment="1">
      <alignment horizontal="right"/>
    </xf>
    <xf numFmtId="1" fontId="4" fillId="0" borderId="16" xfId="0" applyNumberFormat="1" applyFont="1" applyBorder="1" applyAlignment="1">
      <alignment horizontal="center"/>
    </xf>
    <xf numFmtId="1" fontId="4" fillId="0" borderId="36" xfId="0" applyNumberFormat="1" applyFont="1" applyBorder="1" applyAlignment="1">
      <alignment horizontal="right"/>
    </xf>
    <xf numFmtId="1" fontId="4" fillId="0" borderId="28" xfId="0" applyNumberFormat="1" applyFont="1" applyBorder="1" applyAlignment="1">
      <alignment horizontal="right"/>
    </xf>
    <xf numFmtId="0" fontId="8" fillId="0" borderId="0" xfId="0" applyFont="1" applyAlignment="1">
      <alignment horizontal="right" vertical="center" wrapText="1"/>
    </xf>
    <xf numFmtId="0" fontId="8" fillId="0" borderId="0" xfId="0" applyFont="1" applyAlignment="1">
      <alignment horizontal="center" vertical="center" wrapText="1"/>
    </xf>
    <xf numFmtId="0" fontId="8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18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43" xfId="0" applyFont="1" applyBorder="1" applyAlignment="1">
      <alignment horizontal="right"/>
    </xf>
    <xf numFmtId="0" fontId="1" fillId="0" borderId="15" xfId="0" applyFont="1" applyBorder="1" applyAlignment="1">
      <alignment horizontal="right"/>
    </xf>
    <xf numFmtId="0" fontId="1" fillId="0" borderId="20" xfId="0" applyFont="1" applyBorder="1" applyAlignment="1">
      <alignment horizontal="right"/>
    </xf>
    <xf numFmtId="0" fontId="1" fillId="0" borderId="45" xfId="0" applyFont="1" applyBorder="1" applyAlignment="1">
      <alignment horizontal="right"/>
    </xf>
    <xf numFmtId="0" fontId="1" fillId="0" borderId="17" xfId="0" applyFont="1" applyBorder="1" applyAlignment="1">
      <alignment horizontal="right"/>
    </xf>
    <xf numFmtId="0" fontId="1" fillId="0" borderId="11" xfId="0" applyFont="1" applyBorder="1" applyAlignment="1">
      <alignment horizontal="right"/>
    </xf>
    <xf numFmtId="0" fontId="10" fillId="0" borderId="0" xfId="1" applyFont="1" applyBorder="1" applyAlignment="1">
      <alignment horizontal="center"/>
    </xf>
    <xf numFmtId="0" fontId="11" fillId="0" borderId="0" xfId="1" applyFont="1" applyBorder="1" applyAlignment="1">
      <alignment horizontal="center"/>
    </xf>
    <xf numFmtId="0" fontId="1" fillId="0" borderId="18" xfId="0" applyFont="1" applyBorder="1" applyAlignment="1">
      <alignment horizontal="center" wrapText="1"/>
    </xf>
    <xf numFmtId="0" fontId="1" fillId="0" borderId="7" xfId="0" applyFont="1" applyBorder="1" applyAlignment="1">
      <alignment horizontal="center" wrapText="1"/>
    </xf>
    <xf numFmtId="0" fontId="1" fillId="0" borderId="33" xfId="0" applyFont="1" applyBorder="1" applyAlignment="1">
      <alignment horizontal="center"/>
    </xf>
    <xf numFmtId="0" fontId="1" fillId="0" borderId="55" xfId="0" applyFont="1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1" fillId="0" borderId="23" xfId="0" applyFont="1" applyBorder="1" applyAlignment="1">
      <alignment horizontal="center" wrapText="1"/>
    </xf>
    <xf numFmtId="0" fontId="1" fillId="0" borderId="25" xfId="0" applyFont="1" applyBorder="1" applyAlignment="1">
      <alignment horizontal="center" wrapText="1"/>
    </xf>
    <xf numFmtId="0" fontId="1" fillId="0" borderId="56" xfId="0" applyFont="1" applyBorder="1" applyAlignment="1">
      <alignment horizontal="center" vertical="center" wrapText="1"/>
    </xf>
    <xf numFmtId="0" fontId="1" fillId="0" borderId="38" xfId="0" applyFont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 textRotation="90"/>
    </xf>
    <xf numFmtId="0" fontId="0" fillId="0" borderId="1" xfId="0" applyBorder="1" applyAlignment="1">
      <alignment horizontal="center" vertical="center" textRotation="90"/>
    </xf>
  </cellXfs>
  <cellStyles count="2">
    <cellStyle name="Заголовок 3" xfId="1" builtinId="18"/>
    <cellStyle name="Обычный" xfId="0" builtinId="0"/>
  </cellStyles>
  <dxfs count="9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Процент с прибыли, руб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  <c:perspective val="3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0.16708333333333336"/>
          <c:w val="0.86542629046369202"/>
          <c:h val="0.77736111111111106"/>
        </c:manualLayout>
      </c:layout>
      <c:pie3DChart>
        <c:varyColors val="1"/>
        <c:ser>
          <c:idx val="0"/>
          <c:order val="0"/>
          <c:tx>
            <c:strRef>
              <c:f>Расчет!$F$9</c:f>
              <c:strCache>
                <c:ptCount val="1"/>
                <c:pt idx="0">
                  <c:v>Процент с прибыли, руб</c:v>
                </c:pt>
              </c:strCache>
            </c:strRef>
          </c:tx>
          <c:dPt>
            <c:idx val="0"/>
            <c:bubble3D val="0"/>
            <c:explosion val="12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BDED-084C-AB78-3F44F0E8A059}"/>
              </c:ext>
            </c:extLst>
          </c:dPt>
          <c:dPt>
            <c:idx val="1"/>
            <c:bubble3D val="0"/>
            <c:explosion val="1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BDED-084C-AB78-3F44F0E8A059}"/>
              </c:ext>
            </c:extLst>
          </c:dPt>
          <c:dPt>
            <c:idx val="2"/>
            <c:bubble3D val="0"/>
            <c:explosion val="16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BDED-084C-AB78-3F44F0E8A059}"/>
              </c:ext>
            </c:extLst>
          </c:dPt>
          <c:dPt>
            <c:idx val="3"/>
            <c:bubble3D val="0"/>
            <c:explosion val="18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BDED-084C-AB78-3F44F0E8A059}"/>
              </c:ext>
            </c:extLst>
          </c:dPt>
          <c:cat>
            <c:strRef>
              <c:f>Расчет!$A$10:$A$13</c:f>
              <c:strCache>
                <c:ptCount val="4"/>
                <c:pt idx="0">
                  <c:v>Иванова</c:v>
                </c:pt>
                <c:pt idx="1">
                  <c:v>Петрова</c:v>
                </c:pt>
                <c:pt idx="2">
                  <c:v>Сидорова</c:v>
                </c:pt>
                <c:pt idx="3">
                  <c:v>Михайлова</c:v>
                </c:pt>
              </c:strCache>
            </c:strRef>
          </c:cat>
          <c:val>
            <c:numRef>
              <c:f>Расчет!$F$10:$F$13</c:f>
              <c:numCache>
                <c:formatCode>0.00</c:formatCode>
                <c:ptCount val="4"/>
                <c:pt idx="0">
                  <c:v>409.09090909090912</c:v>
                </c:pt>
                <c:pt idx="1">
                  <c:v>272.72727272727275</c:v>
                </c:pt>
                <c:pt idx="2">
                  <c:v>409.09090909090912</c:v>
                </c:pt>
                <c:pt idx="3">
                  <c:v>409.09090909090912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BDED-084C-AB78-3F44F0E8A0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542629046369197"/>
          <c:y val="0.27451261300670748"/>
          <c:w val="0.16790704286964128"/>
          <c:h val="0.44213181685622632"/>
        </c:manualLayout>
      </c:layout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412750</xdr:colOff>
      <xdr:row>4</xdr:row>
      <xdr:rowOff>177800</xdr:rowOff>
    </xdr:from>
    <xdr:to>
      <xdr:col>6</xdr:col>
      <xdr:colOff>31750</xdr:colOff>
      <xdr:row>18</xdr:row>
      <xdr:rowOff>76200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xmlns="" id="{760920A7-977F-BA41-BC91-08E6912F2C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F32"/>
  <sheetViews>
    <sheetView showGridLines="0" showRowColHeaders="0" showZeros="0" view="pageLayout" zoomScale="96" zoomScaleNormal="100" zoomScalePageLayoutView="96" workbookViewId="0">
      <selection activeCell="F20" sqref="F20"/>
    </sheetView>
  </sheetViews>
  <sheetFormatPr defaultColWidth="11" defaultRowHeight="15.75"/>
  <cols>
    <col min="2" max="2" width="39.625" style="10" customWidth="1"/>
    <col min="3" max="3" width="10.875" customWidth="1"/>
  </cols>
  <sheetData>
    <row r="1" spans="1:6">
      <c r="A1" s="38" t="s">
        <v>2</v>
      </c>
      <c r="B1" s="6" t="s">
        <v>3</v>
      </c>
      <c r="C1" s="2"/>
      <c r="D1" s="2"/>
      <c r="E1" s="2"/>
      <c r="F1" s="2"/>
    </row>
    <row r="2" spans="1:6">
      <c r="A2" s="38" t="s">
        <v>1</v>
      </c>
      <c r="B2" s="7" t="s">
        <v>4</v>
      </c>
      <c r="C2" s="2"/>
      <c r="D2" s="2"/>
      <c r="E2" s="2"/>
      <c r="F2" s="2"/>
    </row>
    <row r="3" spans="1:6" ht="16.5" thickBot="1">
      <c r="A3" s="38" t="s">
        <v>0</v>
      </c>
      <c r="B3" s="8" t="s">
        <v>5</v>
      </c>
      <c r="C3" s="2"/>
      <c r="D3" s="2"/>
      <c r="E3" s="2"/>
      <c r="F3" s="2"/>
    </row>
    <row r="4" spans="1:6" ht="16.5" thickBot="1">
      <c r="A4" s="2"/>
      <c r="B4" s="9"/>
      <c r="C4" s="2"/>
      <c r="D4" s="2"/>
      <c r="E4" s="2"/>
      <c r="F4" s="2"/>
    </row>
    <row r="5" spans="1:6" ht="21.75" thickBot="1">
      <c r="A5" s="2"/>
      <c r="B5" s="14" t="s">
        <v>6</v>
      </c>
      <c r="C5" s="106">
        <v>3</v>
      </c>
      <c r="D5" s="107"/>
      <c r="E5" s="2"/>
      <c r="F5" s="2"/>
    </row>
    <row r="6" spans="1:6" ht="16.5" thickBot="1">
      <c r="A6" s="2"/>
      <c r="B6" s="9"/>
      <c r="C6" s="2"/>
      <c r="D6" s="2"/>
      <c r="E6" s="2"/>
      <c r="F6" s="2"/>
    </row>
    <row r="7" spans="1:6" ht="32.25" thickBot="1">
      <c r="A7" s="4" t="s">
        <v>7</v>
      </c>
      <c r="B7" s="11" t="s">
        <v>8</v>
      </c>
      <c r="C7" s="5" t="s">
        <v>9</v>
      </c>
      <c r="D7" s="5" t="s">
        <v>10</v>
      </c>
      <c r="E7" s="12" t="s">
        <v>11</v>
      </c>
      <c r="F7" s="13" t="s">
        <v>12</v>
      </c>
    </row>
    <row r="8" spans="1:6" ht="16.5" thickBot="1">
      <c r="A8" s="108" t="s">
        <v>13</v>
      </c>
      <c r="B8" s="109"/>
      <c r="C8" s="109"/>
      <c r="D8" s="109"/>
      <c r="E8" s="109"/>
      <c r="F8" s="110"/>
    </row>
    <row r="9" spans="1:6" ht="18.75">
      <c r="A9" s="29">
        <v>1</v>
      </c>
      <c r="B9" s="18" t="s">
        <v>14</v>
      </c>
      <c r="C9" s="17" t="s">
        <v>36</v>
      </c>
      <c r="D9" s="21">
        <v>1</v>
      </c>
      <c r="E9" s="33">
        <v>950</v>
      </c>
      <c r="F9" s="35">
        <f>D9*E9</f>
        <v>950</v>
      </c>
    </row>
    <row r="10" spans="1:6" ht="18.75">
      <c r="A10" s="30">
        <v>2</v>
      </c>
      <c r="B10" s="19" t="s">
        <v>15</v>
      </c>
      <c r="C10" s="1" t="s">
        <v>36</v>
      </c>
      <c r="D10" s="22">
        <v>1</v>
      </c>
      <c r="E10" s="33">
        <v>182</v>
      </c>
      <c r="F10" s="36">
        <f t="shared" ref="F10:F13" si="0">D10*E10</f>
        <v>182</v>
      </c>
    </row>
    <row r="11" spans="1:6" ht="18.75">
      <c r="A11" s="30">
        <v>3</v>
      </c>
      <c r="B11" s="32" t="s">
        <v>16</v>
      </c>
      <c r="C11" s="1" t="s">
        <v>37</v>
      </c>
      <c r="D11" s="22">
        <v>20</v>
      </c>
      <c r="E11" s="33">
        <v>300</v>
      </c>
      <c r="F11" s="36">
        <f t="shared" si="0"/>
        <v>6000</v>
      </c>
    </row>
    <row r="12" spans="1:6" ht="18.75">
      <c r="A12" s="30">
        <v>4</v>
      </c>
      <c r="B12" s="19" t="s">
        <v>17</v>
      </c>
      <c r="C12" s="1" t="s">
        <v>36</v>
      </c>
      <c r="D12" s="22">
        <v>5</v>
      </c>
      <c r="E12" s="33">
        <v>1200</v>
      </c>
      <c r="F12" s="36">
        <f t="shared" si="0"/>
        <v>6000</v>
      </c>
    </row>
    <row r="13" spans="1:6" ht="19.5" thickBot="1">
      <c r="A13" s="31">
        <v>5</v>
      </c>
      <c r="B13" s="20" t="s">
        <v>18</v>
      </c>
      <c r="C13" s="3" t="s">
        <v>36</v>
      </c>
      <c r="D13" s="22">
        <v>5</v>
      </c>
      <c r="E13" s="33">
        <v>500</v>
      </c>
      <c r="F13" s="37">
        <f t="shared" si="0"/>
        <v>2500</v>
      </c>
    </row>
    <row r="14" spans="1:6">
      <c r="A14" s="114" t="s">
        <v>19</v>
      </c>
      <c r="B14" s="115"/>
      <c r="C14" s="24"/>
      <c r="D14" s="24"/>
      <c r="E14" s="28"/>
      <c r="F14" s="39">
        <f>SUM(F9:F13)</f>
        <v>15632</v>
      </c>
    </row>
    <row r="15" spans="1:6">
      <c r="A15" s="117" t="s">
        <v>20</v>
      </c>
      <c r="B15" s="118"/>
      <c r="C15" s="25" t="s">
        <v>22</v>
      </c>
      <c r="D15" s="25">
        <v>15</v>
      </c>
      <c r="E15" s="26"/>
      <c r="F15" s="40">
        <f>$F$14*(D15/100)</f>
        <v>2344.7999999999997</v>
      </c>
    </row>
    <row r="16" spans="1:6" ht="16.5" thickBot="1">
      <c r="A16" s="104" t="s">
        <v>21</v>
      </c>
      <c r="B16" s="105"/>
      <c r="C16" s="23" t="s">
        <v>22</v>
      </c>
      <c r="D16" s="23">
        <v>10</v>
      </c>
      <c r="E16" s="34"/>
      <c r="F16" s="40">
        <f>$F$14*(D16/100)</f>
        <v>1563.2</v>
      </c>
    </row>
    <row r="17" spans="1:6" ht="16.5" thickBot="1">
      <c r="A17" s="111" t="s">
        <v>23</v>
      </c>
      <c r="B17" s="112"/>
      <c r="C17" s="112"/>
      <c r="D17" s="112"/>
      <c r="E17" s="113"/>
      <c r="F17" s="41">
        <f>SUM(F14:F16)</f>
        <v>19540</v>
      </c>
    </row>
    <row r="18" spans="1:6" ht="16.5" thickBot="1">
      <c r="A18" s="108" t="s">
        <v>24</v>
      </c>
      <c r="B18" s="109"/>
      <c r="C18" s="109"/>
      <c r="D18" s="109"/>
      <c r="E18" s="109"/>
      <c r="F18" s="116"/>
    </row>
    <row r="19" spans="1:6">
      <c r="A19" s="29">
        <v>1</v>
      </c>
      <c r="B19" s="18" t="s">
        <v>25</v>
      </c>
      <c r="C19" s="21" t="s">
        <v>27</v>
      </c>
      <c r="D19" s="21">
        <v>3</v>
      </c>
      <c r="E19" s="15">
        <v>2400</v>
      </c>
      <c r="F19" s="42">
        <f>D19*E19</f>
        <v>7200</v>
      </c>
    </row>
    <row r="20" spans="1:6" ht="19.5" thickBot="1">
      <c r="A20" s="31">
        <v>2</v>
      </c>
      <c r="B20" s="20" t="s">
        <v>26</v>
      </c>
      <c r="C20" s="23" t="s">
        <v>38</v>
      </c>
      <c r="D20" s="23">
        <v>500</v>
      </c>
      <c r="E20" s="16">
        <v>300</v>
      </c>
      <c r="F20" s="43">
        <f>D20*E20</f>
        <v>150000</v>
      </c>
    </row>
    <row r="21" spans="1:6">
      <c r="A21" s="114" t="s">
        <v>28</v>
      </c>
      <c r="B21" s="115"/>
      <c r="C21" s="24"/>
      <c r="D21" s="24"/>
      <c r="E21" s="27"/>
      <c r="F21" s="44">
        <f>SUM(F19:F20)</f>
        <v>157200</v>
      </c>
    </row>
    <row r="22" spans="1:6" ht="16.5" thickBot="1">
      <c r="A22" s="104" t="s">
        <v>29</v>
      </c>
      <c r="B22" s="105"/>
      <c r="C22" s="23" t="s">
        <v>22</v>
      </c>
      <c r="D22" s="23">
        <v>20</v>
      </c>
      <c r="E22" s="16"/>
      <c r="F22" s="43">
        <f>F21*D22/100</f>
        <v>31440</v>
      </c>
    </row>
    <row r="23" spans="1:6" ht="16.5" thickBot="1">
      <c r="A23" s="111" t="s">
        <v>30</v>
      </c>
      <c r="B23" s="112"/>
      <c r="C23" s="112"/>
      <c r="D23" s="112"/>
      <c r="E23" s="113"/>
      <c r="F23" s="45">
        <f>SUM(F21:F22)</f>
        <v>188640</v>
      </c>
    </row>
    <row r="24" spans="1:6" ht="16.5" thickBot="1">
      <c r="A24" s="111" t="s">
        <v>31</v>
      </c>
      <c r="B24" s="112"/>
      <c r="C24" s="112"/>
      <c r="D24" s="112"/>
      <c r="E24" s="113"/>
      <c r="F24" s="45">
        <f>F17+F23</f>
        <v>208180</v>
      </c>
    </row>
    <row r="25" spans="1:6">
      <c r="A25" s="2"/>
      <c r="B25" s="9"/>
      <c r="C25" s="2"/>
      <c r="D25" s="2"/>
      <c r="E25" s="2"/>
      <c r="F25" s="2"/>
    </row>
    <row r="26" spans="1:6">
      <c r="A26" s="38" t="s">
        <v>32</v>
      </c>
      <c r="B26" s="47"/>
      <c r="C26" s="2"/>
      <c r="D26" s="2"/>
      <c r="E26" s="2"/>
      <c r="F26" s="2"/>
    </row>
    <row r="27" spans="1:6">
      <c r="A27" s="38" t="s">
        <v>33</v>
      </c>
      <c r="B27" s="48"/>
      <c r="C27" s="2"/>
      <c r="D27" s="2"/>
      <c r="E27" s="2"/>
      <c r="F27" s="2"/>
    </row>
    <row r="28" spans="1:6">
      <c r="A28" s="38" t="s">
        <v>34</v>
      </c>
      <c r="B28" s="48"/>
      <c r="C28" s="2"/>
      <c r="D28" s="2"/>
      <c r="E28" s="2"/>
      <c r="F28" s="2"/>
    </row>
    <row r="29" spans="1:6">
      <c r="A29" s="2"/>
      <c r="B29" s="46" t="s">
        <v>35</v>
      </c>
      <c r="C29" s="2"/>
      <c r="D29" s="2"/>
      <c r="E29" s="2"/>
      <c r="F29" s="2"/>
    </row>
    <row r="30" spans="1:6">
      <c r="A30" s="2"/>
      <c r="B30" s="9"/>
      <c r="C30" s="2"/>
      <c r="D30" s="2"/>
      <c r="E30" s="2"/>
      <c r="F30" s="2"/>
    </row>
    <row r="31" spans="1:6">
      <c r="A31" s="2"/>
      <c r="B31" s="9"/>
      <c r="C31" s="2"/>
      <c r="D31" s="2"/>
      <c r="E31" s="2"/>
      <c r="F31" s="2"/>
    </row>
    <row r="32" spans="1:6">
      <c r="A32" s="2"/>
      <c r="B32" s="9"/>
      <c r="C32" s="2"/>
      <c r="D32" s="2"/>
      <c r="E32" s="2"/>
      <c r="F32" s="2"/>
    </row>
  </sheetData>
  <mergeCells count="11">
    <mergeCell ref="A16:B16"/>
    <mergeCell ref="C5:D5"/>
    <mergeCell ref="A8:F8"/>
    <mergeCell ref="A23:E23"/>
    <mergeCell ref="A24:E24"/>
    <mergeCell ref="A21:B21"/>
    <mergeCell ref="A22:B22"/>
    <mergeCell ref="A17:E17"/>
    <mergeCell ref="A18:F18"/>
    <mergeCell ref="A14:B14"/>
    <mergeCell ref="A15:B15"/>
  </mergeCells>
  <pageMargins left="0.7" right="0.7" top="0.75" bottom="0.75" header="0.3" footer="0.3"/>
  <pageSetup paperSize="9" orientation="landscape" r:id="rId1"/>
  <headerFooter>
    <oddHeader>&amp;C&amp;"System Font,Regular"&amp;10&amp;K000000Братчиков Иван. Р3101. &amp;F</oddHeader>
    <oddFooter>&amp;C&amp;D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/>
  </sheetPr>
  <dimension ref="A1:D4"/>
  <sheetViews>
    <sheetView workbookViewId="0">
      <selection activeCell="C12" sqref="C12"/>
    </sheetView>
  </sheetViews>
  <sheetFormatPr defaultColWidth="11" defaultRowHeight="15.75"/>
  <sheetData>
    <row r="1" spans="1:4">
      <c r="A1" s="119" t="s">
        <v>39</v>
      </c>
      <c r="B1" s="119"/>
      <c r="C1" s="119"/>
      <c r="D1" s="53">
        <v>0.15</v>
      </c>
    </row>
    <row r="2" spans="1:4" ht="30.95" customHeight="1">
      <c r="A2" s="119" t="s">
        <v>40</v>
      </c>
      <c r="B2" s="119"/>
      <c r="C2" s="119"/>
      <c r="D2" s="51">
        <v>5000</v>
      </c>
    </row>
    <row r="3" spans="1:4">
      <c r="A3" s="120" t="s">
        <v>41</v>
      </c>
      <c r="B3" s="120"/>
      <c r="C3" s="120"/>
      <c r="D3" s="54">
        <v>0.05</v>
      </c>
    </row>
    <row r="4" spans="1:4" ht="16.5" thickBot="1">
      <c r="A4" s="55"/>
      <c r="B4" s="121" t="s">
        <v>42</v>
      </c>
      <c r="C4" s="121"/>
      <c r="D4" s="52">
        <v>350</v>
      </c>
    </row>
  </sheetData>
  <mergeCells count="4">
    <mergeCell ref="A1:C1"/>
    <mergeCell ref="A2:C2"/>
    <mergeCell ref="A3:C3"/>
    <mergeCell ref="B4:C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F0"/>
  </sheetPr>
  <dimension ref="A1:H20"/>
  <sheetViews>
    <sheetView showZeros="0" topLeftCell="A6" workbookViewId="0">
      <selection activeCell="G28" sqref="G28"/>
    </sheetView>
  </sheetViews>
  <sheetFormatPr defaultColWidth="11" defaultRowHeight="15.75"/>
  <sheetData>
    <row r="1" spans="1:8">
      <c r="A1" s="56" t="s">
        <v>43</v>
      </c>
      <c r="B1" t="s">
        <v>46</v>
      </c>
    </row>
    <row r="2" spans="1:8">
      <c r="A2" s="56" t="s">
        <v>44</v>
      </c>
      <c r="B2" t="s">
        <v>47</v>
      </c>
    </row>
    <row r="3" spans="1:8">
      <c r="A3" s="56" t="s">
        <v>45</v>
      </c>
      <c r="B3">
        <v>10000</v>
      </c>
    </row>
    <row r="7" spans="1:8">
      <c r="A7" s="122" t="s">
        <v>48</v>
      </c>
      <c r="B7" s="123"/>
      <c r="C7" s="123"/>
      <c r="D7" s="123"/>
      <c r="E7" s="123"/>
      <c r="F7" s="123"/>
      <c r="G7" s="123"/>
      <c r="H7" s="123"/>
    </row>
    <row r="8" spans="1:8" ht="16.5" thickBot="1"/>
    <row r="9" spans="1:8" ht="63.75" thickBot="1">
      <c r="A9" s="65" t="s">
        <v>49</v>
      </c>
      <c r="B9" s="66" t="s">
        <v>50</v>
      </c>
      <c r="C9" s="66" t="s">
        <v>51</v>
      </c>
      <c r="D9" s="66" t="s">
        <v>52</v>
      </c>
      <c r="E9" s="66" t="s">
        <v>53</v>
      </c>
      <c r="F9" s="66" t="s">
        <v>54</v>
      </c>
      <c r="G9" s="66" t="s">
        <v>55</v>
      </c>
      <c r="H9" s="67" t="s">
        <v>56</v>
      </c>
    </row>
    <row r="10" spans="1:8">
      <c r="A10" s="62" t="s">
        <v>57</v>
      </c>
      <c r="B10" s="63">
        <v>15</v>
      </c>
      <c r="C10" s="22">
        <f xml:space="preserve"> B10*100/$B$14</f>
        <v>27.272727272727273</v>
      </c>
      <c r="D10" s="63" t="s">
        <v>61</v>
      </c>
      <c r="E10" s="63">
        <f>B10*350</f>
        <v>5250</v>
      </c>
      <c r="F10" s="71">
        <f>$B$3*0.15*C10/100</f>
        <v>409.09090909090912</v>
      </c>
      <c r="G10" s="71">
        <f>IF(D10="да",E10*0.05,0)</f>
        <v>262.5</v>
      </c>
      <c r="H10" s="73">
        <f>SUM(E10:G10)</f>
        <v>5921.590909090909</v>
      </c>
    </row>
    <row r="11" spans="1:8">
      <c r="A11" s="62" t="s">
        <v>58</v>
      </c>
      <c r="B11" s="63">
        <v>10</v>
      </c>
      <c r="C11" s="22">
        <f t="shared" ref="C11:C13" si="0" xml:space="preserve"> B11*100/$B$14</f>
        <v>18.181818181818183</v>
      </c>
      <c r="D11" s="63">
        <v>0</v>
      </c>
      <c r="E11" s="63">
        <f t="shared" ref="E11:E13" si="1">B11*350</f>
        <v>3500</v>
      </c>
      <c r="F11" s="71">
        <f t="shared" ref="F11:F13" si="2">$B$3*0.15*C11/100</f>
        <v>272.72727272727275</v>
      </c>
      <c r="G11" s="71">
        <f t="shared" ref="G11:G13" si="3">IF(D11="да",E11*0.05,0)</f>
        <v>0</v>
      </c>
      <c r="H11" s="73">
        <f t="shared" ref="H11:H13" si="4">SUM(E11:G11)</f>
        <v>3772.727272727273</v>
      </c>
    </row>
    <row r="12" spans="1:8">
      <c r="A12" s="62" t="s">
        <v>59</v>
      </c>
      <c r="B12" s="63">
        <v>15</v>
      </c>
      <c r="C12" s="22">
        <f t="shared" si="0"/>
        <v>27.272727272727273</v>
      </c>
      <c r="D12" s="63">
        <v>0</v>
      </c>
      <c r="E12" s="63">
        <f t="shared" si="1"/>
        <v>5250</v>
      </c>
      <c r="F12" s="71">
        <f t="shared" si="2"/>
        <v>409.09090909090912</v>
      </c>
      <c r="G12" s="71">
        <f t="shared" si="3"/>
        <v>0</v>
      </c>
      <c r="H12" s="73">
        <f t="shared" si="4"/>
        <v>5659.090909090909</v>
      </c>
    </row>
    <row r="13" spans="1:8" ht="16.5" thickBot="1">
      <c r="A13" s="62" t="s">
        <v>60</v>
      </c>
      <c r="B13" s="63">
        <v>15</v>
      </c>
      <c r="C13" s="22">
        <f t="shared" si="0"/>
        <v>27.272727272727273</v>
      </c>
      <c r="D13" s="64">
        <v>0</v>
      </c>
      <c r="E13" s="63">
        <f t="shared" si="1"/>
        <v>5250</v>
      </c>
      <c r="F13" s="71">
        <f t="shared" si="2"/>
        <v>409.09090909090912</v>
      </c>
      <c r="G13" s="71">
        <f t="shared" si="3"/>
        <v>0</v>
      </c>
      <c r="H13" s="73">
        <f t="shared" si="4"/>
        <v>5659.090909090909</v>
      </c>
    </row>
    <row r="14" spans="1:8" ht="16.5" thickBot="1">
      <c r="A14" s="68" t="s">
        <v>30</v>
      </c>
      <c r="B14" s="69">
        <f>SUM(B10:B13)</f>
        <v>55</v>
      </c>
      <c r="C14" s="69"/>
      <c r="D14" s="70"/>
      <c r="E14" s="69">
        <f>SUM(E10:E13)</f>
        <v>19250</v>
      </c>
      <c r="F14" s="72">
        <f t="shared" ref="F14:H14" si="5">SUM(F10:F13)</f>
        <v>1500</v>
      </c>
      <c r="G14" s="72">
        <f t="shared" si="5"/>
        <v>262.5</v>
      </c>
      <c r="H14" s="72">
        <f t="shared" si="5"/>
        <v>21012.5</v>
      </c>
    </row>
    <row r="20" spans="3:3">
      <c r="C20" s="56"/>
    </row>
  </sheetData>
  <mergeCells count="1">
    <mergeCell ref="A7:H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7030A0"/>
  </sheetPr>
  <dimension ref="A2"/>
  <sheetViews>
    <sheetView topLeftCell="A2" workbookViewId="0">
      <selection activeCell="E22" sqref="E22"/>
    </sheetView>
  </sheetViews>
  <sheetFormatPr defaultColWidth="11" defaultRowHeight="15.75"/>
  <sheetData>
    <row r="2" ht="33" customHeight="1"/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H21"/>
  <sheetViews>
    <sheetView topLeftCell="A3" workbookViewId="0">
      <selection activeCell="F11" sqref="F11"/>
    </sheetView>
  </sheetViews>
  <sheetFormatPr defaultColWidth="11" defaultRowHeight="15.75"/>
  <cols>
    <col min="1" max="1" width="27.125" bestFit="1" customWidth="1"/>
    <col min="7" max="7" width="14.125" bestFit="1" customWidth="1"/>
  </cols>
  <sheetData>
    <row r="1" spans="1:8" ht="16.5" thickBot="1">
      <c r="A1" s="58"/>
      <c r="B1" s="92" t="s">
        <v>62</v>
      </c>
      <c r="C1" s="93" t="s">
        <v>63</v>
      </c>
    </row>
    <row r="2" spans="1:8">
      <c r="A2" s="89" t="s">
        <v>64</v>
      </c>
      <c r="B2" s="74">
        <v>5</v>
      </c>
      <c r="C2" s="75">
        <v>1000</v>
      </c>
    </row>
    <row r="3" spans="1:8">
      <c r="A3" s="90" t="s">
        <v>65</v>
      </c>
      <c r="B3" s="76">
        <v>4</v>
      </c>
      <c r="C3" s="77">
        <v>400</v>
      </c>
    </row>
    <row r="4" spans="1:8" ht="16.5" thickBot="1">
      <c r="A4" s="91" t="s">
        <v>66</v>
      </c>
      <c r="B4" s="78">
        <v>4</v>
      </c>
      <c r="C4" s="79">
        <v>0</v>
      </c>
    </row>
    <row r="6" spans="1:8" ht="21">
      <c r="A6" s="132" t="s">
        <v>67</v>
      </c>
      <c r="B6" s="133"/>
      <c r="C6" s="133"/>
      <c r="D6" s="133"/>
      <c r="E6" s="133"/>
      <c r="F6" s="133"/>
      <c r="G6" s="133"/>
    </row>
    <row r="7" spans="1:8" ht="16.5" thickBot="1">
      <c r="H7" s="60"/>
    </row>
    <row r="8" spans="1:8">
      <c r="A8" s="134" t="s">
        <v>68</v>
      </c>
      <c r="B8" s="136" t="s">
        <v>69</v>
      </c>
      <c r="C8" s="137"/>
      <c r="D8" s="137"/>
      <c r="E8" s="138"/>
      <c r="F8" s="139" t="s">
        <v>70</v>
      </c>
      <c r="G8" s="141" t="s">
        <v>63</v>
      </c>
      <c r="H8" s="124" t="s">
        <v>71</v>
      </c>
    </row>
    <row r="9" spans="1:8" ht="16.5" thickBot="1">
      <c r="A9" s="135"/>
      <c r="B9" s="86" t="s">
        <v>72</v>
      </c>
      <c r="C9" s="87" t="s">
        <v>73</v>
      </c>
      <c r="D9" s="87" t="s">
        <v>74</v>
      </c>
      <c r="E9" s="88" t="s">
        <v>75</v>
      </c>
      <c r="F9" s="140"/>
      <c r="G9" s="142"/>
      <c r="H9" s="125"/>
    </row>
    <row r="10" spans="1:8" ht="16.5" thickBot="1">
      <c r="A10" s="49" t="s">
        <v>76</v>
      </c>
      <c r="B10" s="81">
        <v>5</v>
      </c>
      <c r="C10" s="82">
        <v>4</v>
      </c>
      <c r="D10" s="82">
        <v>5</v>
      </c>
      <c r="E10" s="59">
        <v>4</v>
      </c>
      <c r="F10" s="62">
        <f t="shared" ref="F10:F11" si="0">ROUND(AVERAGE(B10:E10),2)</f>
        <v>4.5</v>
      </c>
      <c r="G10" s="59">
        <f>IF(F10=5,1000,IF(F10&gt;=4,400,"не начисляется"))</f>
        <v>400</v>
      </c>
      <c r="H10" s="83" t="str">
        <f>ROMAN(RANK(F10,F$10:F$14))</f>
        <v>II</v>
      </c>
    </row>
    <row r="11" spans="1:8" ht="16.5" thickBot="1">
      <c r="A11" s="49" t="s">
        <v>77</v>
      </c>
      <c r="B11" s="81">
        <v>3</v>
      </c>
      <c r="C11" s="82">
        <v>3</v>
      </c>
      <c r="D11" s="82">
        <v>4</v>
      </c>
      <c r="E11" s="59">
        <v>3</v>
      </c>
      <c r="F11" s="62">
        <f t="shared" si="0"/>
        <v>3.25</v>
      </c>
      <c r="G11" s="59" t="str">
        <f>IF(F11=5,1000,IF(F11&gt;=4,400,"не начисляется"))</f>
        <v>не начисляется</v>
      </c>
      <c r="H11" s="83" t="str">
        <f t="shared" ref="H11:H14" si="1">ROMAN(RANK(F11,F$10:F$14))</f>
        <v>IV</v>
      </c>
    </row>
    <row r="12" spans="1:8" ht="16.5" thickBot="1">
      <c r="A12" s="49" t="s">
        <v>78</v>
      </c>
      <c r="B12" s="81">
        <v>3</v>
      </c>
      <c r="C12" s="82">
        <v>3</v>
      </c>
      <c r="D12" s="82">
        <v>3</v>
      </c>
      <c r="E12" s="59">
        <v>4</v>
      </c>
      <c r="F12" s="62">
        <f>ROUND(AVERAGE(B12:E12),2)</f>
        <v>3.25</v>
      </c>
      <c r="G12" s="59" t="str">
        <f>IF(F12=5,1000,IF(F12&gt;=4,400,"не начисляется"))</f>
        <v>не начисляется</v>
      </c>
      <c r="H12" s="83" t="str">
        <f t="shared" si="1"/>
        <v>IV</v>
      </c>
    </row>
    <row r="13" spans="1:8" ht="16.5" thickBot="1">
      <c r="A13" s="49" t="s">
        <v>79</v>
      </c>
      <c r="B13" s="81">
        <v>4</v>
      </c>
      <c r="C13" s="82">
        <v>5</v>
      </c>
      <c r="D13" s="82">
        <v>4</v>
      </c>
      <c r="E13" s="59">
        <v>4</v>
      </c>
      <c r="F13" s="62">
        <f>ROUND(AVERAGE(B13:E13),2)</f>
        <v>4.25</v>
      </c>
      <c r="G13" s="59">
        <f>IF(F13=5,1000,IF(F13&gt;=4,400,"не начисляется"))</f>
        <v>400</v>
      </c>
      <c r="H13" s="83" t="str">
        <f t="shared" si="1"/>
        <v>III</v>
      </c>
    </row>
    <row r="14" spans="1:8" ht="16.5" thickBot="1">
      <c r="A14" s="50" t="s">
        <v>80</v>
      </c>
      <c r="B14" s="80">
        <v>5</v>
      </c>
      <c r="C14" s="84">
        <v>5</v>
      </c>
      <c r="D14" s="84">
        <v>5</v>
      </c>
      <c r="E14" s="61">
        <v>5</v>
      </c>
      <c r="F14" s="62">
        <f>ROUND(AVERAGE(B14:E14),2)</f>
        <v>5</v>
      </c>
      <c r="G14" s="59">
        <f>IF(F14=5,1000,IF(F14&gt;=4,400,"не начисляется"))</f>
        <v>1000</v>
      </c>
      <c r="H14" s="83" t="str">
        <f t="shared" si="1"/>
        <v>I</v>
      </c>
    </row>
    <row r="15" spans="1:8">
      <c r="A15" s="126" t="s">
        <v>81</v>
      </c>
      <c r="B15" s="127"/>
      <c r="C15" s="127"/>
      <c r="D15" s="127"/>
      <c r="E15" s="127"/>
      <c r="F15" s="128"/>
      <c r="G15" s="57">
        <f>COUNTIF(G10:G14,400)+COUNTIF(G10:G14,1000)</f>
        <v>3</v>
      </c>
      <c r="H15" s="49"/>
    </row>
    <row r="16" spans="1:8" ht="16.5" thickBot="1">
      <c r="A16" s="129" t="s">
        <v>82</v>
      </c>
      <c r="B16" s="130"/>
      <c r="C16" s="130"/>
      <c r="D16" s="130"/>
      <c r="E16" s="130"/>
      <c r="F16" s="131"/>
      <c r="G16" s="61">
        <f>COUNTIF(G10:G14,1000)</f>
        <v>1</v>
      </c>
      <c r="H16" s="50"/>
    </row>
    <row r="18" spans="1:7">
      <c r="F18" t="s">
        <v>83</v>
      </c>
      <c r="G18" s="85">
        <f ca="1">TODAY()</f>
        <v>43431</v>
      </c>
    </row>
    <row r="19" spans="1:7">
      <c r="F19" t="s">
        <v>86</v>
      </c>
      <c r="G19">
        <f ca="1">YEAR(G18)</f>
        <v>2018</v>
      </c>
    </row>
    <row r="20" spans="1:7">
      <c r="A20" t="s">
        <v>84</v>
      </c>
      <c r="B20">
        <f>MAX(F10:F14)</f>
        <v>5</v>
      </c>
    </row>
    <row r="21" spans="1:7">
      <c r="A21" t="s">
        <v>85</v>
      </c>
      <c r="B21">
        <f>MIN(F10:F14)</f>
        <v>3.25</v>
      </c>
    </row>
  </sheetData>
  <mergeCells count="8">
    <mergeCell ref="H8:H9"/>
    <mergeCell ref="A15:F15"/>
    <mergeCell ref="A16:F16"/>
    <mergeCell ref="A6:G6"/>
    <mergeCell ref="A8:A9"/>
    <mergeCell ref="B8:E8"/>
    <mergeCell ref="F8:F9"/>
    <mergeCell ref="G8:G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70C0"/>
  </sheetPr>
  <dimension ref="A1:J17"/>
  <sheetViews>
    <sheetView workbookViewId="0">
      <selection activeCell="E16" sqref="E16"/>
    </sheetView>
  </sheetViews>
  <sheetFormatPr defaultColWidth="11" defaultRowHeight="15.75"/>
  <sheetData>
    <row r="1" spans="1:10">
      <c r="A1" s="95" t="s">
        <v>87</v>
      </c>
      <c r="B1" s="95" t="s">
        <v>88</v>
      </c>
      <c r="C1" s="95" t="s">
        <v>89</v>
      </c>
      <c r="D1" s="95" t="s">
        <v>90</v>
      </c>
      <c r="E1" s="95" t="s">
        <v>91</v>
      </c>
      <c r="F1" s="95" t="s">
        <v>92</v>
      </c>
      <c r="G1" s="95" t="s">
        <v>93</v>
      </c>
      <c r="H1" s="95" t="s">
        <v>94</v>
      </c>
      <c r="I1" s="95" t="s">
        <v>95</v>
      </c>
      <c r="J1" s="95" t="s">
        <v>96</v>
      </c>
    </row>
    <row r="2" spans="1:10">
      <c r="A2" s="94">
        <v>1</v>
      </c>
      <c r="B2" s="94" t="s">
        <v>97</v>
      </c>
      <c r="C2" s="94">
        <v>30</v>
      </c>
      <c r="D2" s="94">
        <v>18</v>
      </c>
      <c r="E2" s="94">
        <v>6</v>
      </c>
      <c r="F2" s="94">
        <v>5</v>
      </c>
      <c r="G2" s="94">
        <v>62</v>
      </c>
      <c r="H2" s="94">
        <v>37</v>
      </c>
      <c r="I2" s="94">
        <f>G2-H2</f>
        <v>25</v>
      </c>
      <c r="J2" s="94">
        <f>D2*3+E2*1</f>
        <v>60</v>
      </c>
    </row>
    <row r="3" spans="1:10">
      <c r="A3" s="94">
        <v>2</v>
      </c>
      <c r="B3" s="94" t="s">
        <v>98</v>
      </c>
      <c r="C3" s="94">
        <v>30</v>
      </c>
      <c r="D3" s="94">
        <v>17</v>
      </c>
      <c r="E3" s="94">
        <v>4</v>
      </c>
      <c r="F3" s="94">
        <v>9</v>
      </c>
      <c r="G3" s="94">
        <v>61</v>
      </c>
      <c r="H3" s="94">
        <v>33</v>
      </c>
      <c r="I3" s="94">
        <f t="shared" ref="I3:I17" si="0">G3-H3</f>
        <v>28</v>
      </c>
      <c r="J3" s="94">
        <f t="shared" ref="J3:J17" si="1">D3*3+E3*1</f>
        <v>55</v>
      </c>
    </row>
    <row r="4" spans="1:10">
      <c r="A4" s="94">
        <v>3</v>
      </c>
      <c r="B4" s="94" t="s">
        <v>99</v>
      </c>
      <c r="C4" s="94">
        <v>30</v>
      </c>
      <c r="D4" s="94">
        <v>19</v>
      </c>
      <c r="E4" s="94">
        <v>9</v>
      </c>
      <c r="F4" s="94">
        <v>6</v>
      </c>
      <c r="G4" s="94">
        <v>20</v>
      </c>
      <c r="H4" s="94">
        <v>64</v>
      </c>
      <c r="I4" s="94">
        <f t="shared" si="0"/>
        <v>-44</v>
      </c>
      <c r="J4" s="94">
        <f t="shared" si="1"/>
        <v>66</v>
      </c>
    </row>
    <row r="5" spans="1:10">
      <c r="A5" s="94">
        <v>4</v>
      </c>
      <c r="B5" s="94" t="s">
        <v>100</v>
      </c>
      <c r="C5" s="94">
        <v>30</v>
      </c>
      <c r="D5" s="94">
        <v>15</v>
      </c>
      <c r="E5" s="94">
        <v>9</v>
      </c>
      <c r="F5" s="94">
        <v>6</v>
      </c>
      <c r="G5" s="94">
        <v>43</v>
      </c>
      <c r="H5" s="94">
        <v>30</v>
      </c>
      <c r="I5" s="94">
        <f t="shared" si="0"/>
        <v>13</v>
      </c>
      <c r="J5" s="94">
        <f t="shared" si="1"/>
        <v>54</v>
      </c>
    </row>
    <row r="6" spans="1:10">
      <c r="A6" s="94">
        <v>5</v>
      </c>
      <c r="B6" s="94" t="s">
        <v>101</v>
      </c>
      <c r="C6" s="94">
        <v>30</v>
      </c>
      <c r="D6" s="94">
        <v>16</v>
      </c>
      <c r="E6" s="94">
        <v>4</v>
      </c>
      <c r="F6" s="94">
        <v>10</v>
      </c>
      <c r="G6" s="94">
        <v>50</v>
      </c>
      <c r="H6" s="94">
        <v>15</v>
      </c>
      <c r="I6" s="94">
        <f t="shared" si="0"/>
        <v>35</v>
      </c>
      <c r="J6" s="94">
        <f t="shared" si="1"/>
        <v>52</v>
      </c>
    </row>
    <row r="7" spans="1:10">
      <c r="A7" s="94">
        <v>6</v>
      </c>
      <c r="B7" s="94" t="s">
        <v>102</v>
      </c>
      <c r="C7" s="94">
        <v>30</v>
      </c>
      <c r="D7" s="94">
        <v>13</v>
      </c>
      <c r="E7" s="94">
        <v>9</v>
      </c>
      <c r="F7" s="94">
        <v>8</v>
      </c>
      <c r="G7" s="94">
        <v>39</v>
      </c>
      <c r="H7" s="94">
        <v>28</v>
      </c>
      <c r="I7" s="94">
        <f t="shared" si="0"/>
        <v>11</v>
      </c>
      <c r="J7" s="94">
        <f t="shared" si="1"/>
        <v>48</v>
      </c>
    </row>
    <row r="8" spans="1:10">
      <c r="A8" s="94">
        <v>7</v>
      </c>
      <c r="B8" s="94" t="s">
        <v>103</v>
      </c>
      <c r="C8" s="94">
        <v>30</v>
      </c>
      <c r="D8" s="94">
        <v>13</v>
      </c>
      <c r="E8" s="94">
        <v>12</v>
      </c>
      <c r="F8" s="94">
        <v>11</v>
      </c>
      <c r="G8" s="94">
        <v>38</v>
      </c>
      <c r="H8" s="94">
        <v>41</v>
      </c>
      <c r="I8" s="94">
        <f t="shared" si="0"/>
        <v>-3</v>
      </c>
      <c r="J8" s="94">
        <f t="shared" si="1"/>
        <v>51</v>
      </c>
    </row>
    <row r="9" spans="1:10">
      <c r="A9" s="94">
        <v>8</v>
      </c>
      <c r="B9" s="94" t="s">
        <v>104</v>
      </c>
      <c r="C9" s="94">
        <v>30</v>
      </c>
      <c r="D9" s="94">
        <v>12</v>
      </c>
      <c r="E9" s="94">
        <v>6</v>
      </c>
      <c r="F9" s="94">
        <v>12</v>
      </c>
      <c r="G9" s="94">
        <v>62</v>
      </c>
      <c r="H9" s="94">
        <v>21</v>
      </c>
      <c r="I9" s="94">
        <f t="shared" si="0"/>
        <v>41</v>
      </c>
      <c r="J9" s="94">
        <f t="shared" si="1"/>
        <v>42</v>
      </c>
    </row>
    <row r="10" spans="1:10">
      <c r="A10" s="94">
        <v>9</v>
      </c>
      <c r="B10" s="94" t="s">
        <v>105</v>
      </c>
      <c r="C10" s="94">
        <v>30</v>
      </c>
      <c r="D10" s="94">
        <v>11</v>
      </c>
      <c r="E10" s="94">
        <v>8</v>
      </c>
      <c r="F10" s="94">
        <v>11</v>
      </c>
      <c r="G10" s="94">
        <v>31</v>
      </c>
      <c r="H10" s="94">
        <v>39</v>
      </c>
      <c r="I10" s="94">
        <f t="shared" si="0"/>
        <v>-8</v>
      </c>
      <c r="J10" s="94">
        <f t="shared" si="1"/>
        <v>41</v>
      </c>
    </row>
    <row r="11" spans="1:10">
      <c r="A11" s="94">
        <v>10</v>
      </c>
      <c r="B11" s="94" t="s">
        <v>106</v>
      </c>
      <c r="C11" s="94">
        <v>30</v>
      </c>
      <c r="D11" s="94">
        <v>10</v>
      </c>
      <c r="E11" s="94">
        <v>6</v>
      </c>
      <c r="F11" s="94">
        <v>14</v>
      </c>
      <c r="G11" s="94">
        <v>32</v>
      </c>
      <c r="H11" s="94">
        <v>52</v>
      </c>
      <c r="I11" s="94">
        <f t="shared" si="0"/>
        <v>-20</v>
      </c>
      <c r="J11" s="94">
        <f t="shared" si="1"/>
        <v>36</v>
      </c>
    </row>
    <row r="12" spans="1:10">
      <c r="A12" s="94">
        <v>11</v>
      </c>
      <c r="B12" s="94" t="s">
        <v>107</v>
      </c>
      <c r="C12" s="94">
        <v>30</v>
      </c>
      <c r="D12" s="94">
        <v>8</v>
      </c>
      <c r="E12" s="94">
        <v>11</v>
      </c>
      <c r="F12" s="94">
        <v>24</v>
      </c>
      <c r="G12" s="94">
        <v>36</v>
      </c>
      <c r="H12" s="94">
        <v>33</v>
      </c>
      <c r="I12" s="94">
        <f t="shared" si="0"/>
        <v>3</v>
      </c>
      <c r="J12" s="94">
        <f t="shared" si="1"/>
        <v>35</v>
      </c>
    </row>
    <row r="13" spans="1:10">
      <c r="A13" s="94">
        <v>12</v>
      </c>
      <c r="B13" s="94" t="s">
        <v>108</v>
      </c>
      <c r="C13" s="94">
        <v>30</v>
      </c>
      <c r="D13" s="94">
        <v>9</v>
      </c>
      <c r="E13" s="94">
        <v>6</v>
      </c>
      <c r="F13" s="94">
        <v>15</v>
      </c>
      <c r="G13" s="94">
        <v>33</v>
      </c>
      <c r="H13" s="94">
        <v>48</v>
      </c>
      <c r="I13" s="94">
        <f t="shared" si="0"/>
        <v>-15</v>
      </c>
      <c r="J13" s="94">
        <f t="shared" si="1"/>
        <v>33</v>
      </c>
    </row>
    <row r="14" spans="1:10">
      <c r="A14" s="94">
        <v>13</v>
      </c>
      <c r="B14" s="94" t="s">
        <v>109</v>
      </c>
      <c r="C14" s="94">
        <v>30</v>
      </c>
      <c r="D14" s="94">
        <v>8</v>
      </c>
      <c r="E14" s="94">
        <v>9</v>
      </c>
      <c r="F14" s="94">
        <v>13</v>
      </c>
      <c r="G14" s="94">
        <v>27</v>
      </c>
      <c r="H14" s="94">
        <v>37</v>
      </c>
      <c r="I14" s="94">
        <f t="shared" si="0"/>
        <v>-10</v>
      </c>
      <c r="J14" s="94">
        <f t="shared" si="1"/>
        <v>33</v>
      </c>
    </row>
    <row r="15" spans="1:10">
      <c r="A15" s="94">
        <v>14</v>
      </c>
      <c r="B15" s="94" t="s">
        <v>110</v>
      </c>
      <c r="C15" s="94">
        <v>30</v>
      </c>
      <c r="D15" s="94">
        <v>7</v>
      </c>
      <c r="E15" s="94">
        <v>11</v>
      </c>
      <c r="F15" s="94">
        <v>12</v>
      </c>
      <c r="G15" s="94">
        <v>28</v>
      </c>
      <c r="H15" s="94">
        <v>39</v>
      </c>
      <c r="I15" s="94">
        <f t="shared" si="0"/>
        <v>-11</v>
      </c>
      <c r="J15" s="94">
        <f t="shared" si="1"/>
        <v>32</v>
      </c>
    </row>
    <row r="16" spans="1:10">
      <c r="A16" s="94">
        <v>15</v>
      </c>
      <c r="B16" s="94" t="s">
        <v>111</v>
      </c>
      <c r="C16" s="94">
        <v>30</v>
      </c>
      <c r="D16" s="94">
        <v>6</v>
      </c>
      <c r="E16" s="94">
        <v>12</v>
      </c>
      <c r="F16" s="94">
        <v>14</v>
      </c>
      <c r="G16" s="94">
        <v>23</v>
      </c>
      <c r="H16" s="94">
        <v>51</v>
      </c>
      <c r="I16" s="94">
        <f t="shared" si="0"/>
        <v>-28</v>
      </c>
      <c r="J16" s="94">
        <f t="shared" si="1"/>
        <v>30</v>
      </c>
    </row>
    <row r="17" spans="1:10">
      <c r="A17" s="94">
        <v>16</v>
      </c>
      <c r="B17" s="94" t="s">
        <v>112</v>
      </c>
      <c r="C17" s="94">
        <v>30</v>
      </c>
      <c r="D17" s="94">
        <v>2</v>
      </c>
      <c r="E17" s="94">
        <v>4</v>
      </c>
      <c r="F17" s="94">
        <v>11</v>
      </c>
      <c r="G17" s="94">
        <v>20</v>
      </c>
      <c r="H17" s="94">
        <v>30</v>
      </c>
      <c r="I17" s="94">
        <f t="shared" si="0"/>
        <v>-10</v>
      </c>
      <c r="J17" s="94">
        <f t="shared" si="1"/>
        <v>10</v>
      </c>
    </row>
  </sheetData>
  <conditionalFormatting sqref="D1:D17">
    <cfRule type="iconSet" priority="8">
      <iconSet iconSet="3Symbols2">
        <cfvo type="percent" val="0"/>
        <cfvo type="formula" val="MAX($D$2:$D$16)"/>
        <cfvo type="formula" val="MAX($D$2:$D$16)"/>
      </iconSet>
    </cfRule>
  </conditionalFormatting>
  <conditionalFormatting sqref="I2:I17">
    <cfRule type="cellIs" dxfId="8" priority="1" operator="equal">
      <formula>0</formula>
    </cfRule>
    <cfRule type="expression" dxfId="7" priority="2">
      <formula>SMALL($I$2:$I$17,3)&gt;=I2</formula>
    </cfRule>
    <cfRule type="expression" dxfId="6" priority="4">
      <formula>LARGE($I$2:$I$17,3)&lt;=I2</formula>
    </cfRule>
  </conditionalFormatting>
  <conditionalFormatting sqref="J1:J17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{9A7623E7-F45E-6448-A798-DA2978DA8A06}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A7623E7-F45E-6448-A798-DA2978DA8A0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J1:J17</xm:sqref>
        </x14:conditionalFormatting>
        <x14:conditionalFormatting xmlns:xm="http://schemas.microsoft.com/office/excel/2006/main">
          <x14:cfRule type="iconSet" priority="7" id="{8968F29C-751D-E34C-BE48-1C4303A7F179}">
            <x14:iconSet iconSet="3Symbols2" custom="1">
              <x14:cfvo type="percent">
                <xm:f>0</xm:f>
              </x14:cfvo>
              <x14:cfvo type="percent">
                <xm:f>33</xm:f>
              </x14:cfvo>
              <x14:cfvo type="percent">
                <xm:f>100</xm:f>
              </x14:cfvo>
              <x14:cfIcon iconSet="NoIcons" iconId="0"/>
              <x14:cfIcon iconSet="NoIcons" iconId="0"/>
              <x14:cfIcon iconSet="3Symbols2" iconId="2"/>
            </x14:iconSet>
          </x14:cfRule>
          <xm:sqref>D1:D17</xm:sqref>
        </x14:conditionalFormatting>
        <x14:conditionalFormatting xmlns:xm="http://schemas.microsoft.com/office/excel/2006/main">
          <x14:cfRule type="iconSet" priority="6" id="{0F4D1A31-306C-9B49-B1AB-7CF4069DD86A}">
            <x14:iconSet iconSet="3Symbols2" custom="1">
              <x14:cfvo type="percent">
                <xm:f>0</xm:f>
              </x14:cfvo>
              <x14:cfvo type="percent">
                <xm:f>33</xm:f>
              </x14:cfvo>
              <x14:cfvo type="percent">
                <xm:f>100</xm:f>
              </x14:cfvo>
              <x14:cfIcon iconSet="NoIcons" iconId="0"/>
              <x14:cfIcon iconSet="NoIcons" iconId="0"/>
              <x14:cfIcon iconSet="3Symbols2" iconId="1"/>
            </x14:iconSet>
          </x14:cfRule>
          <xm:sqref>E1:E17</xm:sqref>
        </x14:conditionalFormatting>
        <x14:conditionalFormatting xmlns:xm="http://schemas.microsoft.com/office/excel/2006/main">
          <x14:cfRule type="iconSet" priority="5" id="{1ED13606-15C3-E84E-92D5-33CBCA8E3F5E}">
            <x14:iconSet iconSet="3Symbols2" custom="1">
              <x14:cfvo type="percent">
                <xm:f>0</xm:f>
              </x14:cfvo>
              <x14:cfvo type="percent">
                <xm:f>33</xm:f>
              </x14:cfvo>
              <x14:cfvo type="percent">
                <xm:f>100</xm:f>
              </x14:cfvo>
              <x14:cfIcon iconSet="NoIcons" iconId="0"/>
              <x14:cfIcon iconSet="NoIcons" iconId="0"/>
              <x14:cfIcon iconSet="3Symbols2" iconId="0"/>
            </x14:iconSet>
          </x14:cfRule>
          <xm:sqref>F1:F17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7" tint="0.39997558519241921"/>
  </sheetPr>
  <dimension ref="A1:C13"/>
  <sheetViews>
    <sheetView workbookViewId="0">
      <selection activeCell="C5" sqref="C5"/>
    </sheetView>
  </sheetViews>
  <sheetFormatPr defaultColWidth="11" defaultRowHeight="15.75"/>
  <cols>
    <col min="1" max="1" width="24.5" bestFit="1" customWidth="1"/>
    <col min="2" max="2" width="13.375" bestFit="1" customWidth="1"/>
    <col min="3" max="3" width="12.625" bestFit="1" customWidth="1"/>
  </cols>
  <sheetData>
    <row r="1" spans="1:3">
      <c r="A1" s="97" t="s">
        <v>126</v>
      </c>
      <c r="B1" s="98" t="s">
        <v>127</v>
      </c>
      <c r="C1" s="98" t="s">
        <v>128</v>
      </c>
    </row>
    <row r="2" spans="1:3">
      <c r="A2" s="94" t="s">
        <v>129</v>
      </c>
      <c r="B2" s="94">
        <v>6</v>
      </c>
      <c r="C2" s="94" t="str">
        <f>IF(COUNTIF('Таблица 2'!A$2:A$12, A2)=0,"нет на рынке", HLOOKUP(A2,'Таблица 2'!E$1:O$2,2,FALSE)*'Таблица 1'!B2)</f>
        <v>нет на рынке</v>
      </c>
    </row>
    <row r="3" spans="1:3">
      <c r="A3" s="94" t="s">
        <v>115</v>
      </c>
      <c r="B3" s="94">
        <v>2</v>
      </c>
      <c r="C3" s="94">
        <f>IF(COUNTIF('Таблица 2'!A$2:A$12, A3)=0,"нет на рынке", HLOOKUP(A3,'Таблица 2'!E$1:O$2,2,FALSE)*'Таблица 1'!B3)</f>
        <v>310</v>
      </c>
    </row>
    <row r="4" spans="1:3">
      <c r="A4" s="94" t="s">
        <v>130</v>
      </c>
      <c r="B4" s="94">
        <v>1</v>
      </c>
      <c r="C4" s="94" t="str">
        <f>IF(COUNTIF('Таблица 2'!A$2:A$12, A4)=0,"нет на рынке", HLOOKUP(A4,'Таблица 2'!E$1:O$2,2,FALSE)*'Таблица 1'!B4)</f>
        <v>нет на рынке</v>
      </c>
    </row>
    <row r="5" spans="1:3">
      <c r="A5" s="94" t="s">
        <v>124</v>
      </c>
      <c r="B5" s="94">
        <v>4</v>
      </c>
      <c r="C5" s="94">
        <f>IF(COUNTIF('Таблица 2'!A$2:A$12, A5)=0,"нет на рынке", HLOOKUP(A5,'Таблица 2'!E$1:O$2,2,FALSE)*'Таблица 1'!B5)</f>
        <v>184</v>
      </c>
    </row>
    <row r="6" spans="1:3">
      <c r="A6" s="94" t="s">
        <v>116</v>
      </c>
      <c r="B6" s="94">
        <v>2</v>
      </c>
      <c r="C6" s="94">
        <f>IF(COUNTIF('Таблица 2'!A$2:A$12, A6)=0,"нет на рынке", HLOOKUP(A6,'Таблица 2'!E$1:O$2,2,FALSE)*'Таблица 1'!B6)</f>
        <v>52</v>
      </c>
    </row>
    <row r="7" spans="1:3">
      <c r="A7" s="94" t="s">
        <v>117</v>
      </c>
      <c r="B7" s="94">
        <v>5</v>
      </c>
      <c r="C7" s="94">
        <f>IF(COUNTIF('Таблица 2'!A$2:A$12, A7)=0,"нет на рынке", HLOOKUP(A7,'Таблица 2'!E$1:O$2,2,FALSE)*'Таблица 1'!B7)</f>
        <v>5000</v>
      </c>
    </row>
    <row r="8" spans="1:3">
      <c r="A8" s="94" t="s">
        <v>118</v>
      </c>
      <c r="B8" s="94">
        <v>3</v>
      </c>
      <c r="C8" s="94">
        <f>IF(COUNTIF('Таблица 2'!A$2:A$12, A8)=0,"нет на рынке", HLOOKUP(A8,'Таблица 2'!E$1:O$2,2,FALSE)*'Таблица 1'!B8)</f>
        <v>21</v>
      </c>
    </row>
    <row r="9" spans="1:3">
      <c r="A9" s="94" t="s">
        <v>125</v>
      </c>
      <c r="B9" s="94">
        <v>9</v>
      </c>
      <c r="C9" s="94">
        <f>IF(COUNTIF('Таблица 2'!A$2:A$12, A9)=0,"нет на рынке", HLOOKUP(A9,'Таблица 2'!E$1:O$2,2,FALSE)*'Таблица 1'!B9)</f>
        <v>58.5</v>
      </c>
    </row>
    <row r="10" spans="1:3">
      <c r="A10" s="94" t="s">
        <v>131</v>
      </c>
      <c r="B10" s="94">
        <v>7</v>
      </c>
      <c r="C10" s="94" t="str">
        <f>IF(COUNTIF('Таблица 2'!A$2:A$12, A10)=0,"нет на рынке", HLOOKUP(A10,'Таблица 2'!E$1:O$2,2,FALSE)*'Таблица 1'!B10)</f>
        <v>нет на рынке</v>
      </c>
    </row>
    <row r="11" spans="1:3">
      <c r="A11" s="94" t="s">
        <v>120</v>
      </c>
      <c r="B11" s="94">
        <v>2</v>
      </c>
      <c r="C11" s="94">
        <f>IF(COUNTIF('Таблица 2'!A$2:A$12, A11)=0,"нет на рынке", HLOOKUP(A11,'Таблица 2'!E$1:O$2,2,FALSE)*'Таблица 1'!B11)</f>
        <v>1000</v>
      </c>
    </row>
    <row r="12" spans="1:3">
      <c r="A12" s="94" t="s">
        <v>123</v>
      </c>
      <c r="B12" s="94">
        <v>1</v>
      </c>
      <c r="C12" s="94">
        <f>IF(COUNTIF('Таблица 2'!A$2:A$12, A12)=0,"нет на рынке", HLOOKUP(A12,'Таблица 2'!E$1:O$2,2,FALSE)*'Таблица 1'!B12)</f>
        <v>19</v>
      </c>
    </row>
    <row r="13" spans="1:3">
      <c r="A13" s="99"/>
      <c r="B13" s="100" t="s">
        <v>23</v>
      </c>
      <c r="C13" s="94">
        <f>SUM(C2:C12)</f>
        <v>6644.5</v>
      </c>
    </row>
  </sheetData>
  <conditionalFormatting sqref="C2:C13">
    <cfRule type="cellIs" dxfId="5" priority="1" operator="equal">
      <formula>"нет на рынке"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-0.249977111117893"/>
  </sheetPr>
  <dimension ref="A1:O12"/>
  <sheetViews>
    <sheetView tabSelected="1" topLeftCell="B1" workbookViewId="0">
      <selection activeCell="N6" sqref="N6"/>
    </sheetView>
  </sheetViews>
  <sheetFormatPr defaultColWidth="11" defaultRowHeight="15.75"/>
  <cols>
    <col min="1" max="1" width="23.625" bestFit="1" customWidth="1"/>
    <col min="2" max="2" width="10" bestFit="1" customWidth="1"/>
    <col min="4" max="4" width="19" bestFit="1" customWidth="1"/>
    <col min="5" max="5" width="23.5" bestFit="1" customWidth="1"/>
    <col min="6" max="6" width="22.125" bestFit="1" customWidth="1"/>
    <col min="7" max="7" width="14" bestFit="1" customWidth="1"/>
    <col min="8" max="8" width="13.875" bestFit="1" customWidth="1"/>
    <col min="9" max="9" width="15.75" bestFit="1" customWidth="1"/>
    <col min="10" max="10" width="13.875" bestFit="1" customWidth="1"/>
    <col min="11" max="11" width="12.25" bestFit="1" customWidth="1"/>
    <col min="12" max="12" width="22.25" bestFit="1" customWidth="1"/>
    <col min="13" max="13" width="16.125" bestFit="1" customWidth="1"/>
    <col min="14" max="14" width="15.625" bestFit="1" customWidth="1"/>
    <col min="15" max="15" width="14.75" bestFit="1" customWidth="1"/>
  </cols>
  <sheetData>
    <row r="1" spans="1:15">
      <c r="A1" s="96" t="s">
        <v>113</v>
      </c>
      <c r="B1" s="96" t="s">
        <v>114</v>
      </c>
      <c r="D1" s="96" t="s">
        <v>113</v>
      </c>
      <c r="E1" s="94" t="s">
        <v>115</v>
      </c>
      <c r="F1" s="94" t="s">
        <v>116</v>
      </c>
      <c r="G1" s="94" t="s">
        <v>117</v>
      </c>
      <c r="H1" s="94" t="s">
        <v>118</v>
      </c>
      <c r="I1" s="94" t="s">
        <v>119</v>
      </c>
      <c r="J1" s="94" t="s">
        <v>120</v>
      </c>
      <c r="K1" s="94" t="s">
        <v>121</v>
      </c>
      <c r="L1" s="94" t="s">
        <v>122</v>
      </c>
      <c r="M1" s="94" t="s">
        <v>123</v>
      </c>
      <c r="N1" s="94" t="s">
        <v>124</v>
      </c>
      <c r="O1" s="94" t="s">
        <v>125</v>
      </c>
    </row>
    <row r="2" spans="1:15">
      <c r="A2" s="94" t="s">
        <v>115</v>
      </c>
      <c r="B2" s="94">
        <v>155</v>
      </c>
      <c r="D2" s="96" t="s">
        <v>114</v>
      </c>
      <c r="E2" s="94">
        <v>155</v>
      </c>
      <c r="F2" s="94">
        <v>26</v>
      </c>
      <c r="G2" s="94">
        <v>1000</v>
      </c>
      <c r="H2" s="94">
        <v>7</v>
      </c>
      <c r="I2" s="94">
        <v>1.5</v>
      </c>
      <c r="J2" s="94">
        <v>500</v>
      </c>
      <c r="K2" s="94">
        <v>450</v>
      </c>
      <c r="L2" s="94">
        <v>53</v>
      </c>
      <c r="M2" s="94">
        <v>19</v>
      </c>
      <c r="N2" s="94">
        <v>46</v>
      </c>
      <c r="O2" s="94">
        <v>6.5</v>
      </c>
    </row>
    <row r="3" spans="1:15">
      <c r="A3" s="94" t="s">
        <v>116</v>
      </c>
      <c r="B3" s="94">
        <v>26</v>
      </c>
    </row>
    <row r="4" spans="1:15">
      <c r="A4" s="94" t="s">
        <v>117</v>
      </c>
      <c r="B4" s="94">
        <v>1000</v>
      </c>
    </row>
    <row r="5" spans="1:15">
      <c r="A5" s="94" t="s">
        <v>118</v>
      </c>
      <c r="B5" s="94">
        <v>7</v>
      </c>
    </row>
    <row r="6" spans="1:15">
      <c r="A6" s="94" t="s">
        <v>119</v>
      </c>
      <c r="B6" s="94">
        <v>1.5</v>
      </c>
    </row>
    <row r="7" spans="1:15">
      <c r="A7" s="94" t="s">
        <v>120</v>
      </c>
      <c r="B7" s="94">
        <v>500</v>
      </c>
    </row>
    <row r="8" spans="1:15">
      <c r="A8" s="94" t="s">
        <v>121</v>
      </c>
      <c r="B8" s="94">
        <v>450</v>
      </c>
    </row>
    <row r="9" spans="1:15">
      <c r="A9" s="94" t="s">
        <v>122</v>
      </c>
      <c r="B9" s="94">
        <v>53</v>
      </c>
    </row>
    <row r="10" spans="1:15">
      <c r="A10" s="94" t="s">
        <v>123</v>
      </c>
      <c r="B10" s="94">
        <v>19</v>
      </c>
    </row>
    <row r="11" spans="1:15">
      <c r="A11" s="94" t="s">
        <v>124</v>
      </c>
      <c r="B11" s="94">
        <v>46</v>
      </c>
    </row>
    <row r="12" spans="1:15">
      <c r="A12" s="94" t="s">
        <v>125</v>
      </c>
      <c r="B12" s="94">
        <v>6.5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:O22"/>
  <sheetViews>
    <sheetView topLeftCell="G1" workbookViewId="0">
      <selection activeCell="A3" sqref="A3:A8"/>
    </sheetView>
  </sheetViews>
  <sheetFormatPr defaultColWidth="11" defaultRowHeight="15.75"/>
  <cols>
    <col min="1" max="1" width="4.875" bestFit="1" customWidth="1"/>
    <col min="2" max="2" width="7.125" bestFit="1" customWidth="1"/>
    <col min="3" max="3" width="8.125" bestFit="1" customWidth="1"/>
    <col min="4" max="4" width="15.875" bestFit="1" customWidth="1"/>
    <col min="5" max="5" width="18.125" bestFit="1" customWidth="1"/>
    <col min="6" max="6" width="7.375" bestFit="1" customWidth="1"/>
    <col min="7" max="7" width="8.125" bestFit="1" customWidth="1"/>
    <col min="9" max="9" width="4.875" bestFit="1" customWidth="1"/>
    <col min="10" max="10" width="7.125" bestFit="1" customWidth="1"/>
    <col min="11" max="11" width="8.125" bestFit="1" customWidth="1"/>
    <col min="12" max="12" width="15.875" bestFit="1" customWidth="1"/>
    <col min="13" max="13" width="18.125" bestFit="1" customWidth="1"/>
    <col min="14" max="14" width="7.375" bestFit="1" customWidth="1"/>
    <col min="15" max="15" width="8.125" bestFit="1" customWidth="1"/>
  </cols>
  <sheetData>
    <row r="1" spans="1:15">
      <c r="D1" s="123" t="s">
        <v>132</v>
      </c>
      <c r="E1" s="123"/>
      <c r="F1" s="101" t="str">
        <f>_xlfn.IFS(MONTH(A3) = 9, ROMAN(1),MONTH(A3) = 10, ROMAN(1),MONTH(A3) = 11, ROMAN(1),MONTH(A3) = 12, ROMAN(2),MONTH(A3) = 1, ROMAN(2),MONTH(A3) = 2, ROMAN(2),MONTH(A3) = 3, ROMAN(3),MONTH(A3) = 4, ROMAN(3),MONTH(A3) = 5, ROMAN(3))</f>
        <v>I</v>
      </c>
      <c r="L1" s="123" t="s">
        <v>132</v>
      </c>
      <c r="M1" s="123"/>
      <c r="N1" s="102" t="str">
        <f>_xlfn.IFS(MONTH(I3) = 9, ROMAN(1),MONTH(I3) = 10, ROMAN(1),MONTH(I3) = 11, ROMAN(1),MONTH(I3) = 12, ROMAN(2),MONTH(I3) = 1, ROMAN(2),MONTH(I3) = 2, ROMAN(2),MONTH(I3) = 3, ROMAN(3),MONTH(I3) = 4, ROMAN(3),MONTH(I3) = 5, ROMAN(3))</f>
        <v>I</v>
      </c>
    </row>
    <row r="2" spans="1:15" ht="47.25">
      <c r="A2" s="94" t="s">
        <v>83</v>
      </c>
      <c r="B2" s="103" t="s">
        <v>133</v>
      </c>
      <c r="C2" s="94" t="s">
        <v>134</v>
      </c>
      <c r="D2" s="94" t="s">
        <v>135</v>
      </c>
      <c r="E2" s="94" t="s">
        <v>136</v>
      </c>
      <c r="F2" s="94" t="s">
        <v>137</v>
      </c>
      <c r="G2" s="94" t="s">
        <v>138</v>
      </c>
      <c r="I2" s="94" t="s">
        <v>83</v>
      </c>
      <c r="J2" s="103" t="s">
        <v>133</v>
      </c>
      <c r="K2" s="94" t="s">
        <v>134</v>
      </c>
      <c r="L2" s="94" t="s">
        <v>135</v>
      </c>
      <c r="M2" s="94" t="s">
        <v>136</v>
      </c>
      <c r="N2" s="94" t="s">
        <v>137</v>
      </c>
      <c r="O2" s="94" t="s">
        <v>138</v>
      </c>
    </row>
    <row r="3" spans="1:15">
      <c r="A3" s="143">
        <f>DATE(13,9,2)</f>
        <v>4994</v>
      </c>
      <c r="B3" s="144" t="s">
        <v>139</v>
      </c>
      <c r="C3" s="94">
        <v>1</v>
      </c>
      <c r="D3" s="94" t="s">
        <v>140</v>
      </c>
      <c r="E3" s="94"/>
      <c r="F3" s="94"/>
      <c r="G3" s="94"/>
      <c r="I3" s="143">
        <f>A17+1</f>
        <v>4997</v>
      </c>
      <c r="J3" s="144" t="s">
        <v>141</v>
      </c>
      <c r="K3" s="94">
        <v>1</v>
      </c>
      <c r="L3" s="94" t="s">
        <v>142</v>
      </c>
      <c r="M3" s="94"/>
      <c r="N3" s="94"/>
      <c r="O3" s="94"/>
    </row>
    <row r="4" spans="1:15">
      <c r="A4" s="143"/>
      <c r="B4" s="144"/>
      <c r="C4" s="94">
        <v>2</v>
      </c>
      <c r="D4" s="94" t="s">
        <v>143</v>
      </c>
      <c r="E4" s="94"/>
      <c r="F4" s="94"/>
      <c r="G4" s="94"/>
      <c r="I4" s="143"/>
      <c r="J4" s="144"/>
      <c r="K4" s="94">
        <v>2</v>
      </c>
      <c r="L4" s="94" t="s">
        <v>143</v>
      </c>
      <c r="M4" s="94"/>
      <c r="N4" s="94"/>
      <c r="O4" s="94"/>
    </row>
    <row r="5" spans="1:15">
      <c r="A5" s="143"/>
      <c r="B5" s="144"/>
      <c r="C5" s="94">
        <v>3</v>
      </c>
      <c r="D5" s="94" t="s">
        <v>144</v>
      </c>
      <c r="E5" s="94"/>
      <c r="F5" s="94"/>
      <c r="G5" s="94"/>
      <c r="I5" s="143"/>
      <c r="J5" s="144"/>
      <c r="K5" s="94">
        <v>3</v>
      </c>
      <c r="L5" s="94" t="s">
        <v>145</v>
      </c>
      <c r="M5" s="94"/>
      <c r="N5" s="94"/>
      <c r="O5" s="94"/>
    </row>
    <row r="6" spans="1:15">
      <c r="A6" s="143"/>
      <c r="B6" s="144"/>
      <c r="C6" s="94">
        <v>4</v>
      </c>
      <c r="D6" s="94" t="s">
        <v>146</v>
      </c>
      <c r="E6" s="94"/>
      <c r="F6" s="94"/>
      <c r="G6" s="94"/>
      <c r="I6" s="143"/>
      <c r="J6" s="144"/>
      <c r="K6" s="94">
        <v>4</v>
      </c>
      <c r="L6" s="94" t="s">
        <v>146</v>
      </c>
      <c r="M6" s="94"/>
      <c r="N6" s="94"/>
      <c r="O6" s="94"/>
    </row>
    <row r="7" spans="1:15">
      <c r="A7" s="143"/>
      <c r="B7" s="144"/>
      <c r="C7" s="94">
        <v>5</v>
      </c>
      <c r="D7" s="94" t="s">
        <v>73</v>
      </c>
      <c r="E7" s="94"/>
      <c r="F7" s="94"/>
      <c r="G7" s="94"/>
      <c r="I7" s="143"/>
      <c r="J7" s="144"/>
      <c r="K7" s="94">
        <v>5</v>
      </c>
      <c r="L7" s="94" t="s">
        <v>147</v>
      </c>
      <c r="M7" s="94"/>
      <c r="N7" s="94"/>
      <c r="O7" s="94"/>
    </row>
    <row r="8" spans="1:15">
      <c r="A8" s="143"/>
      <c r="B8" s="144"/>
      <c r="C8" s="94">
        <v>6</v>
      </c>
      <c r="D8" s="94" t="s">
        <v>148</v>
      </c>
      <c r="E8" s="94"/>
      <c r="F8" s="94"/>
      <c r="G8" s="94"/>
      <c r="I8" s="143"/>
      <c r="J8" s="144"/>
      <c r="K8" s="94">
        <v>6</v>
      </c>
      <c r="L8" s="94" t="s">
        <v>149</v>
      </c>
      <c r="M8" s="94"/>
      <c r="N8" s="94"/>
      <c r="O8" s="94"/>
    </row>
    <row r="10" spans="1:15">
      <c r="A10" s="143">
        <f>A3+1</f>
        <v>4995</v>
      </c>
      <c r="B10" s="144" t="s">
        <v>150</v>
      </c>
      <c r="C10" s="94">
        <v>1</v>
      </c>
      <c r="D10" s="94" t="s">
        <v>151</v>
      </c>
      <c r="E10" s="94"/>
      <c r="F10" s="94"/>
      <c r="G10" s="94"/>
      <c r="I10" s="143">
        <f>I3+1</f>
        <v>4998</v>
      </c>
      <c r="J10" s="144" t="s">
        <v>152</v>
      </c>
      <c r="K10" s="94">
        <v>1</v>
      </c>
      <c r="L10" s="94" t="s">
        <v>140</v>
      </c>
      <c r="M10" s="94"/>
      <c r="N10" s="94"/>
      <c r="O10" s="94"/>
    </row>
    <row r="11" spans="1:15">
      <c r="A11" s="143"/>
      <c r="B11" s="144"/>
      <c r="C11" s="94">
        <v>2</v>
      </c>
      <c r="D11" s="94" t="s">
        <v>153</v>
      </c>
      <c r="E11" s="94"/>
      <c r="F11" s="94"/>
      <c r="G11" s="94"/>
      <c r="I11" s="143"/>
      <c r="J11" s="144"/>
      <c r="K11" s="94">
        <v>2</v>
      </c>
      <c r="L11" s="94" t="s">
        <v>146</v>
      </c>
      <c r="M11" s="94"/>
      <c r="N11" s="94"/>
      <c r="O11" s="94"/>
    </row>
    <row r="12" spans="1:15">
      <c r="A12" s="143"/>
      <c r="B12" s="144"/>
      <c r="C12" s="94">
        <v>3</v>
      </c>
      <c r="D12" s="94" t="s">
        <v>142</v>
      </c>
      <c r="E12" s="94"/>
      <c r="F12" s="94"/>
      <c r="G12" s="94"/>
      <c r="I12" s="143"/>
      <c r="J12" s="144"/>
      <c r="K12" s="94">
        <v>3</v>
      </c>
      <c r="L12" s="94" t="s">
        <v>148</v>
      </c>
      <c r="M12" s="94"/>
      <c r="N12" s="94"/>
      <c r="O12" s="94"/>
    </row>
    <row r="13" spans="1:15">
      <c r="A13" s="143"/>
      <c r="B13" s="144"/>
      <c r="C13" s="94">
        <v>4</v>
      </c>
      <c r="D13" s="94" t="s">
        <v>74</v>
      </c>
      <c r="E13" s="94"/>
      <c r="F13" s="94"/>
      <c r="G13" s="94"/>
      <c r="I13" s="143"/>
      <c r="J13" s="144"/>
      <c r="K13" s="94">
        <v>4</v>
      </c>
      <c r="L13" s="94" t="s">
        <v>151</v>
      </c>
      <c r="M13" s="94"/>
      <c r="N13" s="94"/>
      <c r="O13" s="94"/>
    </row>
    <row r="14" spans="1:15">
      <c r="A14" s="143"/>
      <c r="B14" s="144"/>
      <c r="C14" s="94">
        <v>5</v>
      </c>
      <c r="D14" s="94" t="s">
        <v>145</v>
      </c>
      <c r="E14" s="94"/>
      <c r="F14" s="94"/>
      <c r="G14" s="94"/>
      <c r="I14" s="143"/>
      <c r="J14" s="144"/>
      <c r="K14" s="94">
        <v>5</v>
      </c>
      <c r="L14" s="94" t="s">
        <v>73</v>
      </c>
      <c r="M14" s="94"/>
      <c r="N14" s="94"/>
      <c r="O14" s="94"/>
    </row>
    <row r="15" spans="1:15">
      <c r="A15" s="143"/>
      <c r="B15" s="144"/>
      <c r="C15" s="94">
        <v>6</v>
      </c>
      <c r="D15" s="94" t="s">
        <v>149</v>
      </c>
      <c r="E15" s="94"/>
      <c r="F15" s="94"/>
      <c r="G15" s="94"/>
      <c r="I15" s="143"/>
      <c r="J15" s="144"/>
      <c r="K15" s="94">
        <v>6</v>
      </c>
      <c r="L15" s="94"/>
      <c r="M15" s="94"/>
      <c r="N15" s="94"/>
      <c r="O15" s="94"/>
    </row>
    <row r="17" spans="1:15">
      <c r="A17" s="143">
        <f>A10+1</f>
        <v>4996</v>
      </c>
      <c r="B17" s="144" t="s">
        <v>154</v>
      </c>
      <c r="C17" s="94">
        <v>1</v>
      </c>
      <c r="D17" s="94" t="s">
        <v>146</v>
      </c>
      <c r="E17" s="94"/>
      <c r="F17" s="94"/>
      <c r="G17" s="94"/>
      <c r="I17" s="143">
        <f>I10+1</f>
        <v>4999</v>
      </c>
      <c r="J17" s="144" t="s">
        <v>155</v>
      </c>
      <c r="K17" s="94">
        <v>1</v>
      </c>
      <c r="L17" s="94" t="s">
        <v>153</v>
      </c>
      <c r="M17" s="94"/>
      <c r="N17" s="94"/>
      <c r="O17" s="94"/>
    </row>
    <row r="18" spans="1:15">
      <c r="A18" s="143"/>
      <c r="B18" s="144"/>
      <c r="C18" s="94">
        <v>2</v>
      </c>
      <c r="D18" s="94" t="s">
        <v>73</v>
      </c>
      <c r="E18" s="94"/>
      <c r="F18" s="94"/>
      <c r="G18" s="94"/>
      <c r="I18" s="143"/>
      <c r="J18" s="144"/>
      <c r="K18" s="94">
        <v>2</v>
      </c>
      <c r="L18" s="94" t="s">
        <v>74</v>
      </c>
      <c r="M18" s="94"/>
      <c r="N18" s="94"/>
      <c r="O18" s="94"/>
    </row>
    <row r="19" spans="1:15">
      <c r="A19" s="143"/>
      <c r="B19" s="144"/>
      <c r="C19" s="94">
        <v>3</v>
      </c>
      <c r="D19" s="94" t="s">
        <v>144</v>
      </c>
      <c r="E19" s="94"/>
      <c r="F19" s="94"/>
      <c r="G19" s="94"/>
      <c r="I19" s="143"/>
      <c r="J19" s="144"/>
      <c r="K19" s="94">
        <v>3</v>
      </c>
      <c r="L19" s="94" t="s">
        <v>149</v>
      </c>
      <c r="M19" s="94"/>
      <c r="N19" s="94"/>
      <c r="O19" s="94"/>
    </row>
    <row r="20" spans="1:15">
      <c r="A20" s="143"/>
      <c r="B20" s="144"/>
      <c r="C20" s="94">
        <v>4</v>
      </c>
      <c r="D20" s="94" t="s">
        <v>143</v>
      </c>
      <c r="E20" s="94"/>
      <c r="F20" s="94"/>
      <c r="G20" s="94"/>
      <c r="I20" s="143"/>
      <c r="J20" s="144"/>
      <c r="K20" s="94">
        <v>4</v>
      </c>
      <c r="L20" s="94"/>
      <c r="M20" s="94"/>
      <c r="N20" s="94"/>
      <c r="O20" s="94"/>
    </row>
    <row r="21" spans="1:15">
      <c r="A21" s="143"/>
      <c r="B21" s="144"/>
      <c r="C21" s="94">
        <v>5</v>
      </c>
      <c r="D21" s="94" t="s">
        <v>156</v>
      </c>
      <c r="E21" s="94"/>
      <c r="F21" s="94"/>
      <c r="G21" s="94"/>
      <c r="I21" s="143"/>
      <c r="J21" s="144"/>
      <c r="K21" s="94">
        <v>5</v>
      </c>
      <c r="L21" s="94"/>
      <c r="M21" s="94"/>
      <c r="N21" s="94"/>
      <c r="O21" s="94"/>
    </row>
    <row r="22" spans="1:15">
      <c r="A22" s="143"/>
      <c r="B22" s="144"/>
      <c r="C22" s="94">
        <v>6</v>
      </c>
      <c r="D22" s="94"/>
      <c r="E22" s="94"/>
      <c r="F22" s="94"/>
      <c r="G22" s="94"/>
      <c r="I22" s="143"/>
      <c r="J22" s="144"/>
      <c r="K22" s="94">
        <v>6</v>
      </c>
      <c r="L22" s="94"/>
      <c r="M22" s="94"/>
      <c r="N22" s="94"/>
      <c r="O22" s="94"/>
    </row>
  </sheetData>
  <mergeCells count="14">
    <mergeCell ref="D1:E1"/>
    <mergeCell ref="L1:M1"/>
    <mergeCell ref="A3:A8"/>
    <mergeCell ref="B3:B8"/>
    <mergeCell ref="I3:I8"/>
    <mergeCell ref="J3:J8"/>
    <mergeCell ref="A10:A15"/>
    <mergeCell ref="B10:B15"/>
    <mergeCell ref="I10:I15"/>
    <mergeCell ref="J10:J15"/>
    <mergeCell ref="A17:A22"/>
    <mergeCell ref="B17:B22"/>
    <mergeCell ref="I17:I22"/>
    <mergeCell ref="J17:J2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0000"/>
  </sheetPr>
  <dimension ref="A1:O22"/>
  <sheetViews>
    <sheetView workbookViewId="0">
      <selection activeCell="F1" sqref="F1"/>
    </sheetView>
  </sheetViews>
  <sheetFormatPr defaultColWidth="11" defaultRowHeight="15.75"/>
  <cols>
    <col min="1" max="1" width="4.875" bestFit="1" customWidth="1"/>
    <col min="2" max="2" width="7.125" bestFit="1" customWidth="1"/>
    <col min="3" max="3" width="8.125" bestFit="1" customWidth="1"/>
    <col min="4" max="4" width="15.875" bestFit="1" customWidth="1"/>
    <col min="5" max="5" width="18.125" bestFit="1" customWidth="1"/>
    <col min="6" max="6" width="7.375" bestFit="1" customWidth="1"/>
    <col min="7" max="7" width="8.125" bestFit="1" customWidth="1"/>
    <col min="9" max="9" width="4.875" bestFit="1" customWidth="1"/>
    <col min="10" max="10" width="7.125" bestFit="1" customWidth="1"/>
    <col min="11" max="11" width="8.125" bestFit="1" customWidth="1"/>
    <col min="12" max="12" width="15.875" bestFit="1" customWidth="1"/>
    <col min="13" max="13" width="18.125" bestFit="1" customWidth="1"/>
    <col min="14" max="14" width="7.375" bestFit="1" customWidth="1"/>
    <col min="15" max="15" width="8.125" bestFit="1" customWidth="1"/>
  </cols>
  <sheetData>
    <row r="1" spans="1:15">
      <c r="D1" s="123" t="s">
        <v>132</v>
      </c>
      <c r="E1" s="123"/>
      <c r="F1" s="101" t="str">
        <f>_xlfn.IFS(MONTH(A3) = 9, ROMAN(1),MONTH(A3) = 10, ROMAN(1),MONTH(A3) = 11, ROMAN(1),MONTH(A3) = 12, ROMAN(2),MONTH(A3) = 1, ROMAN(2),MONTH(A3) = 2, ROMAN(2),MONTH(A3) = 3, ROMAN(3),MONTH(A3) = 4, ROMAN(3),MONTH(A3) = 5, ROMAN(3))</f>
        <v>I</v>
      </c>
      <c r="L1" s="123" t="s">
        <v>132</v>
      </c>
      <c r="M1" s="123"/>
      <c r="N1" s="102" t="str">
        <f>_xlfn.IFS(MONTH(I3) = 9, ROMAN(1),MONTH(I3) = 10, ROMAN(1),MONTH(I3) = 11, ROMAN(1),MONTH(I3) = 12, ROMAN(2),MONTH(I3) = 1, ROMAN(2),MONTH(I3) = 2, ROMAN(2),MONTH(I3) = 3, ROMAN(3),MONTH(I3) = 4, ROMAN(3),MONTH(I3) = 5, ROMAN(3))</f>
        <v>I</v>
      </c>
    </row>
    <row r="2" spans="1:15" ht="47.25">
      <c r="A2" s="94" t="s">
        <v>83</v>
      </c>
      <c r="B2" s="103" t="s">
        <v>133</v>
      </c>
      <c r="C2" s="94" t="s">
        <v>134</v>
      </c>
      <c r="D2" s="94" t="s">
        <v>135</v>
      </c>
      <c r="E2" s="94" t="s">
        <v>136</v>
      </c>
      <c r="F2" s="94" t="s">
        <v>137</v>
      </c>
      <c r="G2" s="94" t="s">
        <v>138</v>
      </c>
      <c r="I2" s="94" t="s">
        <v>83</v>
      </c>
      <c r="J2" s="103" t="s">
        <v>133</v>
      </c>
      <c r="K2" s="94" t="s">
        <v>134</v>
      </c>
      <c r="L2" s="94" t="s">
        <v>135</v>
      </c>
      <c r="M2" s="94" t="s">
        <v>136</v>
      </c>
      <c r="N2" s="94" t="s">
        <v>137</v>
      </c>
      <c r="O2" s="94" t="s">
        <v>138</v>
      </c>
    </row>
    <row r="3" spans="1:15">
      <c r="A3" s="143">
        <v>5001</v>
      </c>
      <c r="B3" s="144" t="s">
        <v>139</v>
      </c>
      <c r="C3" s="94">
        <v>1</v>
      </c>
      <c r="D3" s="94" t="s">
        <v>140</v>
      </c>
      <c r="E3" s="94"/>
      <c r="F3" s="94"/>
      <c r="G3" s="94"/>
      <c r="I3" s="143">
        <f>A17+1</f>
        <v>5004</v>
      </c>
      <c r="J3" s="144" t="s">
        <v>141</v>
      </c>
      <c r="K3" s="94">
        <v>1</v>
      </c>
      <c r="L3" s="94" t="s">
        <v>142</v>
      </c>
      <c r="M3" s="94"/>
      <c r="N3" s="94"/>
      <c r="O3" s="94"/>
    </row>
    <row r="4" spans="1:15">
      <c r="A4" s="143"/>
      <c r="B4" s="144"/>
      <c r="C4" s="94">
        <v>2</v>
      </c>
      <c r="D4" s="94" t="s">
        <v>143</v>
      </c>
      <c r="E4" s="94"/>
      <c r="F4" s="94"/>
      <c r="G4" s="94"/>
      <c r="I4" s="143"/>
      <c r="J4" s="144"/>
      <c r="K4" s="94">
        <v>2</v>
      </c>
      <c r="L4" s="94" t="s">
        <v>143</v>
      </c>
      <c r="M4" s="94"/>
      <c r="N4" s="94"/>
      <c r="O4" s="94"/>
    </row>
    <row r="5" spans="1:15">
      <c r="A5" s="143"/>
      <c r="B5" s="144"/>
      <c r="C5" s="94">
        <v>3</v>
      </c>
      <c r="D5" s="94" t="s">
        <v>144</v>
      </c>
      <c r="E5" s="94"/>
      <c r="F5" s="94"/>
      <c r="G5" s="94"/>
      <c r="I5" s="143"/>
      <c r="J5" s="144"/>
      <c r="K5" s="94">
        <v>3</v>
      </c>
      <c r="L5" s="94" t="s">
        <v>145</v>
      </c>
      <c r="M5" s="94"/>
      <c r="N5" s="94"/>
      <c r="O5" s="94"/>
    </row>
    <row r="6" spans="1:15">
      <c r="A6" s="143"/>
      <c r="B6" s="144"/>
      <c r="C6" s="94">
        <v>4</v>
      </c>
      <c r="D6" s="94" t="s">
        <v>146</v>
      </c>
      <c r="E6" s="94"/>
      <c r="F6" s="94"/>
      <c r="G6" s="94"/>
      <c r="I6" s="143"/>
      <c r="J6" s="144"/>
      <c r="K6" s="94">
        <v>4</v>
      </c>
      <c r="L6" s="94" t="s">
        <v>146</v>
      </c>
      <c r="M6" s="94"/>
      <c r="N6" s="94"/>
      <c r="O6" s="94"/>
    </row>
    <row r="7" spans="1:15">
      <c r="A7" s="143"/>
      <c r="B7" s="144"/>
      <c r="C7" s="94">
        <v>5</v>
      </c>
      <c r="D7" s="94" t="s">
        <v>73</v>
      </c>
      <c r="E7" s="94"/>
      <c r="F7" s="94"/>
      <c r="G7" s="94"/>
      <c r="I7" s="143"/>
      <c r="J7" s="144"/>
      <c r="K7" s="94">
        <v>5</v>
      </c>
      <c r="L7" s="94" t="s">
        <v>147</v>
      </c>
      <c r="M7" s="94"/>
      <c r="N7" s="94"/>
      <c r="O7" s="94"/>
    </row>
    <row r="8" spans="1:15">
      <c r="A8" s="143"/>
      <c r="B8" s="144"/>
      <c r="C8" s="94">
        <v>6</v>
      </c>
      <c r="D8" s="94" t="s">
        <v>148</v>
      </c>
      <c r="E8" s="94"/>
      <c r="F8" s="94"/>
      <c r="G8" s="94"/>
      <c r="I8" s="143"/>
      <c r="J8" s="144"/>
      <c r="K8" s="94">
        <v>6</v>
      </c>
      <c r="L8" s="94" t="s">
        <v>149</v>
      </c>
      <c r="M8" s="94"/>
      <c r="N8" s="94"/>
      <c r="O8" s="94"/>
    </row>
    <row r="10" spans="1:15">
      <c r="A10" s="143">
        <f>A3+1</f>
        <v>5002</v>
      </c>
      <c r="B10" s="144" t="s">
        <v>150</v>
      </c>
      <c r="C10" s="94">
        <v>1</v>
      </c>
      <c r="D10" s="94" t="s">
        <v>151</v>
      </c>
      <c r="E10" s="94"/>
      <c r="F10" s="94"/>
      <c r="G10" s="94"/>
      <c r="I10" s="143">
        <f>I3+1</f>
        <v>5005</v>
      </c>
      <c r="J10" s="144" t="s">
        <v>152</v>
      </c>
      <c r="K10" s="94">
        <v>1</v>
      </c>
      <c r="L10" s="94" t="s">
        <v>140</v>
      </c>
      <c r="M10" s="94"/>
      <c r="N10" s="94"/>
      <c r="O10" s="94"/>
    </row>
    <row r="11" spans="1:15">
      <c r="A11" s="143"/>
      <c r="B11" s="144"/>
      <c r="C11" s="94">
        <v>2</v>
      </c>
      <c r="D11" s="94" t="s">
        <v>153</v>
      </c>
      <c r="E11" s="94"/>
      <c r="F11" s="94"/>
      <c r="G11" s="94"/>
      <c r="I11" s="143"/>
      <c r="J11" s="144"/>
      <c r="K11" s="94">
        <v>2</v>
      </c>
      <c r="L11" s="94" t="s">
        <v>146</v>
      </c>
      <c r="M11" s="94"/>
      <c r="N11" s="94"/>
      <c r="O11" s="94"/>
    </row>
    <row r="12" spans="1:15">
      <c r="A12" s="143"/>
      <c r="B12" s="144"/>
      <c r="C12" s="94">
        <v>3</v>
      </c>
      <c r="D12" s="94" t="s">
        <v>142</v>
      </c>
      <c r="E12" s="94"/>
      <c r="F12" s="94"/>
      <c r="G12" s="94"/>
      <c r="I12" s="143"/>
      <c r="J12" s="144"/>
      <c r="K12" s="94">
        <v>3</v>
      </c>
      <c r="L12" s="94" t="s">
        <v>148</v>
      </c>
      <c r="M12" s="94"/>
      <c r="N12" s="94"/>
      <c r="O12" s="94"/>
    </row>
    <row r="13" spans="1:15">
      <c r="A13" s="143"/>
      <c r="B13" s="144"/>
      <c r="C13" s="94">
        <v>4</v>
      </c>
      <c r="D13" s="94" t="s">
        <v>74</v>
      </c>
      <c r="E13" s="94"/>
      <c r="F13" s="94"/>
      <c r="G13" s="94"/>
      <c r="I13" s="143"/>
      <c r="J13" s="144"/>
      <c r="K13" s="94">
        <v>4</v>
      </c>
      <c r="L13" s="94" t="s">
        <v>151</v>
      </c>
      <c r="M13" s="94"/>
      <c r="N13" s="94"/>
      <c r="O13" s="94"/>
    </row>
    <row r="14" spans="1:15">
      <c r="A14" s="143"/>
      <c r="B14" s="144"/>
      <c r="C14" s="94">
        <v>5</v>
      </c>
      <c r="D14" s="94" t="s">
        <v>145</v>
      </c>
      <c r="E14" s="94"/>
      <c r="F14" s="94"/>
      <c r="G14" s="94"/>
      <c r="I14" s="143"/>
      <c r="J14" s="144"/>
      <c r="K14" s="94">
        <v>5</v>
      </c>
      <c r="L14" s="94" t="s">
        <v>73</v>
      </c>
      <c r="M14" s="94"/>
      <c r="N14" s="94"/>
      <c r="O14" s="94"/>
    </row>
    <row r="15" spans="1:15">
      <c r="A15" s="143"/>
      <c r="B15" s="144"/>
      <c r="C15" s="94">
        <v>6</v>
      </c>
      <c r="D15" s="94" t="s">
        <v>149</v>
      </c>
      <c r="E15" s="94"/>
      <c r="F15" s="94"/>
      <c r="G15" s="94"/>
      <c r="I15" s="143"/>
      <c r="J15" s="144"/>
      <c r="K15" s="94">
        <v>6</v>
      </c>
      <c r="L15" s="94"/>
      <c r="M15" s="94"/>
      <c r="N15" s="94"/>
      <c r="O15" s="94"/>
    </row>
    <row r="17" spans="1:15">
      <c r="A17" s="143">
        <f>A10+1</f>
        <v>5003</v>
      </c>
      <c r="B17" s="144" t="s">
        <v>154</v>
      </c>
      <c r="C17" s="94">
        <v>1</v>
      </c>
      <c r="D17" s="94" t="s">
        <v>146</v>
      </c>
      <c r="E17" s="94"/>
      <c r="F17" s="94"/>
      <c r="G17" s="94"/>
      <c r="I17" s="143">
        <f>I10+1</f>
        <v>5006</v>
      </c>
      <c r="J17" s="144" t="s">
        <v>155</v>
      </c>
      <c r="K17" s="94">
        <v>1</v>
      </c>
      <c r="L17" s="94" t="s">
        <v>153</v>
      </c>
      <c r="M17" s="94"/>
      <c r="N17" s="94"/>
      <c r="O17" s="94"/>
    </row>
    <row r="18" spans="1:15">
      <c r="A18" s="143"/>
      <c r="B18" s="144"/>
      <c r="C18" s="94">
        <v>2</v>
      </c>
      <c r="D18" s="94" t="s">
        <v>73</v>
      </c>
      <c r="E18" s="94"/>
      <c r="F18" s="94"/>
      <c r="G18" s="94"/>
      <c r="I18" s="143"/>
      <c r="J18" s="144"/>
      <c r="K18" s="94">
        <v>2</v>
      </c>
      <c r="L18" s="94" t="s">
        <v>74</v>
      </c>
      <c r="M18" s="94"/>
      <c r="N18" s="94"/>
      <c r="O18" s="94"/>
    </row>
    <row r="19" spans="1:15">
      <c r="A19" s="143"/>
      <c r="B19" s="144"/>
      <c r="C19" s="94">
        <v>3</v>
      </c>
      <c r="D19" s="94" t="s">
        <v>144</v>
      </c>
      <c r="E19" s="94"/>
      <c r="F19" s="94"/>
      <c r="G19" s="94"/>
      <c r="I19" s="143"/>
      <c r="J19" s="144"/>
      <c r="K19" s="94">
        <v>3</v>
      </c>
      <c r="L19" s="94" t="s">
        <v>149</v>
      </c>
      <c r="M19" s="94"/>
      <c r="N19" s="94"/>
      <c r="O19" s="94"/>
    </row>
    <row r="20" spans="1:15">
      <c r="A20" s="143"/>
      <c r="B20" s="144"/>
      <c r="C20" s="94">
        <v>4</v>
      </c>
      <c r="D20" s="94" t="s">
        <v>143</v>
      </c>
      <c r="E20" s="94"/>
      <c r="F20" s="94"/>
      <c r="G20" s="94"/>
      <c r="I20" s="143"/>
      <c r="J20" s="144"/>
      <c r="K20" s="94">
        <v>4</v>
      </c>
      <c r="L20" s="94"/>
      <c r="M20" s="94"/>
      <c r="N20" s="94"/>
      <c r="O20" s="94"/>
    </row>
    <row r="21" spans="1:15">
      <c r="A21" s="143"/>
      <c r="B21" s="144"/>
      <c r="C21" s="94">
        <v>5</v>
      </c>
      <c r="D21" s="94" t="s">
        <v>156</v>
      </c>
      <c r="E21" s="94"/>
      <c r="F21" s="94"/>
      <c r="G21" s="94"/>
      <c r="I21" s="143"/>
      <c r="J21" s="144"/>
      <c r="K21" s="94">
        <v>5</v>
      </c>
      <c r="L21" s="94"/>
      <c r="M21" s="94"/>
      <c r="N21" s="94"/>
      <c r="O21" s="94"/>
    </row>
    <row r="22" spans="1:15">
      <c r="A22" s="143"/>
      <c r="B22" s="144"/>
      <c r="C22" s="94">
        <v>6</v>
      </c>
      <c r="D22" s="94"/>
      <c r="E22" s="94"/>
      <c r="F22" s="94"/>
      <c r="G22" s="94"/>
      <c r="I22" s="143"/>
      <c r="J22" s="144"/>
      <c r="K22" s="94">
        <v>6</v>
      </c>
      <c r="L22" s="94"/>
      <c r="M22" s="94"/>
      <c r="N22" s="94"/>
      <c r="O22" s="94"/>
    </row>
  </sheetData>
  <mergeCells count="14">
    <mergeCell ref="D1:E1"/>
    <mergeCell ref="L1:M1"/>
    <mergeCell ref="A3:A8"/>
    <mergeCell ref="B3:B8"/>
    <mergeCell ref="I3:I8"/>
    <mergeCell ref="J3:J8"/>
    <mergeCell ref="A10:A15"/>
    <mergeCell ref="B10:B15"/>
    <mergeCell ref="I10:I15"/>
    <mergeCell ref="J10:J15"/>
    <mergeCell ref="A17:A22"/>
    <mergeCell ref="B17:B22"/>
    <mergeCell ref="I17:I22"/>
    <mergeCell ref="J17:J2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B5</vt:lpstr>
      <vt:lpstr>Справочник</vt:lpstr>
      <vt:lpstr>Расчет</vt:lpstr>
      <vt:lpstr>Диаграмма</vt:lpstr>
      <vt:lpstr>Стипендия</vt:lpstr>
      <vt:lpstr>Спорт</vt:lpstr>
      <vt:lpstr>Таблица 1</vt:lpstr>
      <vt:lpstr>Таблица 2</vt:lpstr>
      <vt:lpstr>Неделя 1</vt:lpstr>
      <vt:lpstr>Неделя 2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Братчиков Иван Станиславович</dc:creator>
  <cp:lastModifiedBy>svcadm1</cp:lastModifiedBy>
  <dcterms:created xsi:type="dcterms:W3CDTF">2018-11-25T12:12:37Z</dcterms:created>
  <dcterms:modified xsi:type="dcterms:W3CDTF">2018-11-28T06:21:43Z</dcterms:modified>
</cp:coreProperties>
</file>